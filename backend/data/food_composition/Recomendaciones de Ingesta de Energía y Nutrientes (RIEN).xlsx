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i\OneDrive\Documentos\GitHub\evaluacion-nutricional-publico\backend\data\food_composition\"/>
    </mc:Choice>
  </mc:AlternateContent>
  <xr:revisionPtr revIDLastSave="0" documentId="13_ncr:1_{E3DDF01D-72FE-4C48-A3E3-B15BAA29741F}" xr6:coauthVersionLast="47" xr6:coauthVersionMax="47" xr10:uidLastSave="{00000000-0000-0000-0000-000000000000}"/>
  <bookViews>
    <workbookView xWindow="-110" yWindow="-110" windowWidth="19420" windowHeight="10300" xr2:uid="{779361B8-00AD-4FE7-BC21-1FD0A8048D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31" i="1"/>
  <c r="J29" i="1"/>
  <c r="J26" i="1"/>
  <c r="J27" i="1"/>
  <c r="J25" i="1"/>
  <c r="J20" i="1"/>
  <c r="J21" i="1"/>
  <c r="J22" i="1"/>
  <c r="J23" i="1"/>
  <c r="J19" i="1"/>
  <c r="J18" i="1"/>
  <c r="J13" i="1"/>
  <c r="J14" i="1"/>
  <c r="J15" i="1"/>
  <c r="J16" i="1"/>
  <c r="J12" i="1"/>
  <c r="J9" i="1"/>
  <c r="J8" i="1"/>
  <c r="M31" i="1"/>
  <c r="M30" i="1"/>
  <c r="M29" i="1"/>
  <c r="K30" i="1"/>
  <c r="K31" i="1"/>
  <c r="K29" i="1"/>
  <c r="M27" i="1"/>
  <c r="M26" i="1"/>
  <c r="M25" i="1"/>
  <c r="K26" i="1"/>
  <c r="K27" i="1"/>
  <c r="K25" i="1"/>
  <c r="M21" i="1"/>
  <c r="M22" i="1"/>
  <c r="M23" i="1"/>
  <c r="M20" i="1"/>
  <c r="M19" i="1"/>
  <c r="M18" i="1"/>
  <c r="K20" i="1"/>
  <c r="K21" i="1"/>
  <c r="K22" i="1"/>
  <c r="K23" i="1"/>
  <c r="K19" i="1"/>
  <c r="K18" i="1"/>
  <c r="M14" i="1"/>
  <c r="M15" i="1"/>
  <c r="M16" i="1"/>
  <c r="M13" i="1"/>
  <c r="K14" i="1"/>
  <c r="K15" i="1"/>
  <c r="K16" i="1"/>
  <c r="K13" i="1"/>
  <c r="M12" i="1"/>
  <c r="K12" i="1"/>
  <c r="M11" i="1"/>
  <c r="K11" i="1"/>
  <c r="M9" i="1"/>
  <c r="M8" i="1"/>
  <c r="K9" i="1"/>
  <c r="K8" i="1"/>
  <c r="L6" i="1"/>
  <c r="L5" i="1"/>
  <c r="BP9" i="1"/>
  <c r="BP8" i="1"/>
  <c r="BN9" i="1"/>
  <c r="BN8" i="1"/>
  <c r="BM9" i="1"/>
  <c r="BM8" i="1"/>
  <c r="BK9" i="1"/>
  <c r="BK8" i="1"/>
  <c r="BJ9" i="1"/>
  <c r="BJ8" i="1"/>
  <c r="BH8" i="1"/>
  <c r="BP6" i="1"/>
  <c r="BO5" i="1"/>
  <c r="BN6" i="1"/>
  <c r="BM6" i="1"/>
  <c r="BL5" i="1"/>
  <c r="BK6" i="1"/>
  <c r="BJ6" i="1"/>
  <c r="BI5" i="1"/>
  <c r="BH9" i="1"/>
  <c r="BG9" i="1"/>
  <c r="BG8" i="1"/>
  <c r="BE9" i="1"/>
  <c r="BE8" i="1"/>
  <c r="BD9" i="1"/>
  <c r="BD8" i="1"/>
  <c r="BH6" i="1"/>
  <c r="BG6" i="1"/>
  <c r="BF5" i="1"/>
  <c r="BE6" i="1"/>
  <c r="BD6" i="1"/>
  <c r="BC5" i="1"/>
</calcChain>
</file>

<file path=xl/sharedStrings.xml><?xml version="1.0" encoding="utf-8"?>
<sst xmlns="http://schemas.openxmlformats.org/spreadsheetml/2006/main" count="663" uniqueCount="185">
  <si>
    <t>PERIODOS DE LA VIDA/GRUPOS DE EDAD</t>
  </si>
  <si>
    <t>Microminerales</t>
  </si>
  <si>
    <t>Macrominerales</t>
  </si>
  <si>
    <t>Fibra g/día Aia</t>
  </si>
  <si>
    <t>Carbohidratos g/día</t>
  </si>
  <si>
    <t>Agua</t>
  </si>
  <si>
    <t>GRASA DIETÉTICA O ÁCIDOS GRASOS g/día</t>
  </si>
  <si>
    <t>HIERRO* mg/día</t>
  </si>
  <si>
    <t>ZINC mg/día</t>
  </si>
  <si>
    <t>SELENIO μg/día</t>
  </si>
  <si>
    <t>cobre μg/día</t>
  </si>
  <si>
    <t>FLUORURO mg/día</t>
  </si>
  <si>
    <t>EAR</t>
  </si>
  <si>
    <t>RDA</t>
  </si>
  <si>
    <t>AMDR %</t>
  </si>
  <si>
    <t>AI</t>
  </si>
  <si>
    <t>CALCIO mg/día</t>
  </si>
  <si>
    <t>FÓSFORO mg/día</t>
  </si>
  <si>
    <t>MAGNESIO mg/día</t>
  </si>
  <si>
    <t>SODIO mg/día</t>
  </si>
  <si>
    <t>POTASIO mg/día</t>
  </si>
  <si>
    <t>INGESTA ADECUADA (AI) b DE AGUA TOTAL / DÍAa L/DÍA</t>
  </si>
  <si>
    <t>TAZASd/DÍA</t>
  </si>
  <si>
    <t>Grasa total</t>
  </si>
  <si>
    <t>Ácidos Grasos Poliinsaturados n-6 (ácido linoleico)</t>
  </si>
  <si>
    <t>Ácidos Grasos Poliinsaturados n-3 (ácido alfa linolénico)</t>
  </si>
  <si>
    <t>Ácidos Grasos Saturados</t>
  </si>
  <si>
    <t>Ácidos Grasos Trans</t>
  </si>
  <si>
    <t>Ácidos Grasos Monoinsaturados</t>
  </si>
  <si>
    <t>Colesterol</t>
  </si>
  <si>
    <t>UL</t>
  </si>
  <si>
    <t xml:space="preserve">EAR </t>
  </si>
  <si>
    <t>AMDR%</t>
  </si>
  <si>
    <t>Lactante (meses)</t>
  </si>
  <si>
    <t>0-6</t>
  </si>
  <si>
    <t>0.27</t>
  </si>
  <si>
    <t>2</t>
  </si>
  <si>
    <t>4</t>
  </si>
  <si>
    <t>0.01</t>
  </si>
  <si>
    <t>0.7</t>
  </si>
  <si>
    <t>ND</t>
  </si>
  <si>
    <t>1,52</t>
  </si>
  <si>
    <t>1000</t>
  </si>
  <si>
    <t>-</t>
  </si>
  <si>
    <t>60</t>
  </si>
  <si>
    <t>Libre demanda (leche materna)</t>
  </si>
  <si>
    <t>4.4</t>
  </si>
  <si>
    <t xml:space="preserve">0.5 </t>
  </si>
  <si>
    <t>7-11</t>
  </si>
  <si>
    <t>6.9</t>
  </si>
  <si>
    <t>20</t>
  </si>
  <si>
    <t>2.5</t>
  </si>
  <si>
    <t>5</t>
  </si>
  <si>
    <t>0.5</t>
  </si>
  <si>
    <t>0.9</t>
  </si>
  <si>
    <t>1,39</t>
  </si>
  <si>
    <t>1,67</t>
  </si>
  <si>
    <t>1500</t>
  </si>
  <si>
    <t>95</t>
  </si>
  <si>
    <t>0.8</t>
  </si>
  <si>
    <t>3</t>
  </si>
  <si>
    <t>4.6</t>
  </si>
  <si>
    <t>Niños y niñas (años)</t>
  </si>
  <si>
    <t>1-3</t>
  </si>
  <si>
    <t>4.5</t>
  </si>
  <si>
    <t>1.3</t>
  </si>
  <si>
    <t>1,21</t>
  </si>
  <si>
    <t>10-20</t>
  </si>
  <si>
    <t>2500</t>
  </si>
  <si>
    <t>3000</t>
  </si>
  <si>
    <t>100</t>
  </si>
  <si>
    <t>130</t>
  </si>
  <si>
    <t>50-65</t>
  </si>
  <si>
    <t>30-40</t>
  </si>
  <si>
    <t>&lt;10</t>
  </si>
  <si>
    <t>&lt;1</t>
  </si>
  <si>
    <t>= grasa total – (AGS + AGP + Trans)</t>
  </si>
  <si>
    <t>4-8</t>
  </si>
  <si>
    <t>6.2</t>
  </si>
  <si>
    <t>3.0</t>
  </si>
  <si>
    <t>2.2</t>
  </si>
  <si>
    <t>1,05</t>
  </si>
  <si>
    <t>1,32</t>
  </si>
  <si>
    <t>1200</t>
  </si>
  <si>
    <t>1900</t>
  </si>
  <si>
    <t>3800</t>
  </si>
  <si>
    <t>1.7</t>
  </si>
  <si>
    <t>6</t>
  </si>
  <si>
    <t>25-35</t>
  </si>
  <si>
    <t>Hombres (años)</t>
  </si>
  <si>
    <t>9-13</t>
  </si>
  <si>
    <t>9.9</t>
  </si>
  <si>
    <t>5.0</t>
  </si>
  <si>
    <t>5000</t>
  </si>
  <si>
    <t>10.0</t>
  </si>
  <si>
    <t>1100</t>
  </si>
  <si>
    <t>1300</t>
  </si>
  <si>
    <t>1,250</t>
  </si>
  <si>
    <t>4000</t>
  </si>
  <si>
    <t>2300</t>
  </si>
  <si>
    <t>4500</t>
  </si>
  <si>
    <t>31</t>
  </si>
  <si>
    <t>2.4</t>
  </si>
  <si>
    <t>8 ½</t>
  </si>
  <si>
    <t>20-35</t>
  </si>
  <si>
    <t>14-18</t>
  </si>
  <si>
    <t>11.6</t>
  </si>
  <si>
    <t>11.0</t>
  </si>
  <si>
    <t>8000</t>
  </si>
  <si>
    <t>1,01</t>
  </si>
  <si>
    <t>1,18</t>
  </si>
  <si>
    <t>4700</t>
  </si>
  <si>
    <t>38</t>
  </si>
  <si>
    <t>3.3</t>
  </si>
  <si>
    <t>12</t>
  </si>
  <si>
    <t>&lt;300 mg</t>
  </si>
  <si>
    <t>19-30</t>
  </si>
  <si>
    <t>9.0</t>
  </si>
  <si>
    <t>12.0</t>
  </si>
  <si>
    <t>10000</t>
  </si>
  <si>
    <t>0,92</t>
  </si>
  <si>
    <t>1,11</t>
  </si>
  <si>
    <t>14-20</t>
  </si>
  <si>
    <t>3.7</t>
  </si>
  <si>
    <t>14</t>
  </si>
  <si>
    <t>31-50</t>
  </si>
  <si>
    <t>51-70</t>
  </si>
  <si>
    <t>2000</t>
  </si>
  <si>
    <t>30</t>
  </si>
  <si>
    <t>&gt;70</t>
  </si>
  <si>
    <t>Mujeres (años)</t>
  </si>
  <si>
    <t>8.5</t>
  </si>
  <si>
    <t>26</t>
  </si>
  <si>
    <t>2.1</t>
  </si>
  <si>
    <t>7 ½</t>
  </si>
  <si>
    <t>11.9</t>
  </si>
  <si>
    <t>6.0</t>
  </si>
  <si>
    <t>0,99</t>
  </si>
  <si>
    <t>2.3</t>
  </si>
  <si>
    <t>11.7</t>
  </si>
  <si>
    <t>6.5</t>
  </si>
  <si>
    <t>25</t>
  </si>
  <si>
    <t>2.7</t>
  </si>
  <si>
    <t>10</t>
  </si>
  <si>
    <t>7.5</t>
  </si>
  <si>
    <t>21</t>
  </si>
  <si>
    <t>Gestación (años)</t>
  </si>
  <si>
    <t>&lt;18</t>
  </si>
  <si>
    <t>34.0</t>
  </si>
  <si>
    <t>1,22 o + 29 g</t>
  </si>
  <si>
    <t>1,53 o + 35 g</t>
  </si>
  <si>
    <t>3500</t>
  </si>
  <si>
    <t>135</t>
  </si>
  <si>
    <t>175</t>
  </si>
  <si>
    <t>11</t>
  </si>
  <si>
    <t>33.0</t>
  </si>
  <si>
    <t>Lactancia (años)</t>
  </si>
  <si>
    <t>10.5</t>
  </si>
  <si>
    <t>1,46 o + 29 g</t>
  </si>
  <si>
    <t>1,80 o + 35 g</t>
  </si>
  <si>
    <t>5100</t>
  </si>
  <si>
    <t>28</t>
  </si>
  <si>
    <t>160</t>
  </si>
  <si>
    <t>210</t>
  </si>
  <si>
    <t>3.8</t>
  </si>
  <si>
    <t>15</t>
  </si>
  <si>
    <t>9.8</t>
  </si>
  <si>
    <t>14-21</t>
  </si>
  <si>
    <t>14-22</t>
  </si>
  <si>
    <t xml:space="preserve">Proteinas, fibras y carbohidratos </t>
  </si>
  <si>
    <t>Proteínas g/kg/día</t>
  </si>
  <si>
    <t>AMINOÁCIDOS ESENCIALES (g/kg/día)</t>
  </si>
  <si>
    <t>YODO mg/día</t>
  </si>
  <si>
    <t>Valina g/kg/día</t>
  </si>
  <si>
    <t>Histidina g/kg/día</t>
  </si>
  <si>
    <t>Isoleucina g/kg/día</t>
  </si>
  <si>
    <t>Leucina g/kg/día</t>
  </si>
  <si>
    <t>Lisina g/kg/día</t>
  </si>
  <si>
    <t>Treonina g/kg/día</t>
  </si>
  <si>
    <t>Triptófano g/kg/día</t>
  </si>
  <si>
    <t>Fenilalanina + Tirosina g/kg/día</t>
  </si>
  <si>
    <t>Metionina + Cisteína g/kg/día</t>
  </si>
  <si>
    <t>&lt;10%</t>
  </si>
  <si>
    <t>5-10%</t>
  </si>
  <si>
    <t>0.6-1.2%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</si>
</sst>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justify" vertical="center" wrapText="1"/>
    </xf>
    <xf numFmtId="49" fontId="0" fillId="0" borderId="1" xfId="0" applyNumberFormat="1" applyBorder="1"/>
    <xf numFmtId="0" fontId="0" fillId="0" borderId="1" xfId="0" applyBorder="1"/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2" fontId="1" fillId="3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justify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8D8A-61F5-41EC-A60F-44D87590904D}">
  <dimension ref="A1:CL40"/>
  <sheetViews>
    <sheetView tabSelected="1" topLeftCell="AJ1" zoomScale="70" zoomScaleNormal="70" workbookViewId="0">
      <selection activeCell="AP18" sqref="AP18"/>
    </sheetView>
  </sheetViews>
  <sheetFormatPr baseColWidth="10" defaultRowHeight="14.5" x14ac:dyDescent="0.35"/>
  <cols>
    <col min="10" max="10" width="12.1796875" style="18" customWidth="1"/>
    <col min="11" max="13" width="10.90625" style="18"/>
  </cols>
  <sheetData>
    <row r="1" spans="1:90" x14ac:dyDescent="0.35">
      <c r="A1" s="26" t="s">
        <v>0</v>
      </c>
      <c r="B1" s="27" t="s">
        <v>1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 t="s">
        <v>2</v>
      </c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2" t="s">
        <v>5</v>
      </c>
      <c r="AN1" s="22"/>
      <c r="AO1" s="27" t="s">
        <v>6</v>
      </c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 t="s">
        <v>171</v>
      </c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 t="s">
        <v>169</v>
      </c>
      <c r="CE1" s="27"/>
      <c r="CF1" s="27"/>
      <c r="CG1" s="27"/>
      <c r="CH1" s="27"/>
      <c r="CI1" s="27"/>
      <c r="CJ1" s="27"/>
      <c r="CK1" s="27"/>
      <c r="CL1" s="27"/>
    </row>
    <row r="2" spans="1:90" ht="87" x14ac:dyDescent="0.35">
      <c r="A2" s="26"/>
      <c r="B2" s="24" t="s">
        <v>7</v>
      </c>
      <c r="C2" s="24"/>
      <c r="D2" s="24"/>
      <c r="E2" s="24"/>
      <c r="F2" s="24" t="s">
        <v>8</v>
      </c>
      <c r="G2" s="24"/>
      <c r="H2" s="24"/>
      <c r="I2" s="24"/>
      <c r="J2" s="24" t="s">
        <v>172</v>
      </c>
      <c r="K2" s="24"/>
      <c r="L2" s="24"/>
      <c r="M2" s="24"/>
      <c r="N2" s="24" t="s">
        <v>9</v>
      </c>
      <c r="O2" s="24"/>
      <c r="P2" s="24"/>
      <c r="Q2" s="24"/>
      <c r="R2" s="24" t="s">
        <v>10</v>
      </c>
      <c r="S2" s="24"/>
      <c r="T2" s="24"/>
      <c r="U2" s="24"/>
      <c r="V2" s="24" t="s">
        <v>11</v>
      </c>
      <c r="W2" s="24"/>
      <c r="X2" s="26" t="s">
        <v>16</v>
      </c>
      <c r="Y2" s="26"/>
      <c r="Z2" s="26"/>
      <c r="AA2" s="26"/>
      <c r="AB2" s="26" t="s">
        <v>17</v>
      </c>
      <c r="AC2" s="26"/>
      <c r="AD2" s="26"/>
      <c r="AE2" s="26"/>
      <c r="AF2" s="26" t="s">
        <v>18</v>
      </c>
      <c r="AG2" s="26"/>
      <c r="AH2" s="26"/>
      <c r="AI2" s="26"/>
      <c r="AJ2" s="26" t="s">
        <v>19</v>
      </c>
      <c r="AK2" s="26"/>
      <c r="AL2" s="1" t="s">
        <v>20</v>
      </c>
      <c r="AM2" s="2" t="s">
        <v>21</v>
      </c>
      <c r="AN2" s="2" t="s">
        <v>22</v>
      </c>
      <c r="AO2" s="25" t="s">
        <v>23</v>
      </c>
      <c r="AP2" s="25"/>
      <c r="AQ2" s="25" t="s">
        <v>24</v>
      </c>
      <c r="AR2" s="25"/>
      <c r="AS2" s="25" t="s">
        <v>25</v>
      </c>
      <c r="AT2" s="25"/>
      <c r="AU2" s="25" t="s">
        <v>26</v>
      </c>
      <c r="AV2" s="25"/>
      <c r="AW2" s="25" t="s">
        <v>27</v>
      </c>
      <c r="AX2" s="25"/>
      <c r="AY2" s="25" t="s">
        <v>28</v>
      </c>
      <c r="AZ2" s="25"/>
      <c r="BA2" s="25" t="s">
        <v>29</v>
      </c>
      <c r="BB2" s="25"/>
      <c r="BC2" s="22" t="s">
        <v>174</v>
      </c>
      <c r="BD2" s="22"/>
      <c r="BE2" s="22"/>
      <c r="BF2" s="22" t="s">
        <v>175</v>
      </c>
      <c r="BG2" s="22"/>
      <c r="BH2" s="22"/>
      <c r="BI2" s="22" t="s">
        <v>176</v>
      </c>
      <c r="BJ2" s="22"/>
      <c r="BK2" s="22"/>
      <c r="BL2" s="22" t="s">
        <v>177</v>
      </c>
      <c r="BM2" s="22"/>
      <c r="BN2" s="22"/>
      <c r="BO2" s="22" t="s">
        <v>181</v>
      </c>
      <c r="BP2" s="22"/>
      <c r="BQ2" s="22"/>
      <c r="BR2" s="22" t="s">
        <v>180</v>
      </c>
      <c r="BS2" s="22"/>
      <c r="BT2" s="22"/>
      <c r="BU2" s="22" t="s">
        <v>178</v>
      </c>
      <c r="BV2" s="22"/>
      <c r="BW2" s="22"/>
      <c r="BX2" s="24" t="s">
        <v>179</v>
      </c>
      <c r="BY2" s="24"/>
      <c r="BZ2" s="24"/>
      <c r="CA2" s="24" t="s">
        <v>173</v>
      </c>
      <c r="CB2" s="24"/>
      <c r="CC2" s="24"/>
      <c r="CD2" s="22" t="s">
        <v>170</v>
      </c>
      <c r="CE2" s="22"/>
      <c r="CF2" s="22"/>
      <c r="CG2" s="22"/>
      <c r="CH2" s="2" t="s">
        <v>3</v>
      </c>
      <c r="CI2" s="22" t="s">
        <v>4</v>
      </c>
      <c r="CJ2" s="22"/>
      <c r="CK2" s="22"/>
      <c r="CL2" s="22"/>
    </row>
    <row r="3" spans="1:90" x14ac:dyDescent="0.35">
      <c r="A3" s="26"/>
      <c r="B3" s="3" t="s">
        <v>12</v>
      </c>
      <c r="C3" s="3" t="s">
        <v>13</v>
      </c>
      <c r="D3" s="3" t="s">
        <v>15</v>
      </c>
      <c r="E3" s="3" t="s">
        <v>30</v>
      </c>
      <c r="F3" s="3" t="s">
        <v>12</v>
      </c>
      <c r="G3" s="3" t="s">
        <v>13</v>
      </c>
      <c r="H3" s="3" t="s">
        <v>15</v>
      </c>
      <c r="I3" s="3" t="s">
        <v>30</v>
      </c>
      <c r="J3" s="16" t="s">
        <v>12</v>
      </c>
      <c r="K3" s="16" t="s">
        <v>13</v>
      </c>
      <c r="L3" s="16" t="s">
        <v>15</v>
      </c>
      <c r="M3" s="16" t="s">
        <v>30</v>
      </c>
      <c r="N3" s="3" t="s">
        <v>12</v>
      </c>
      <c r="O3" s="3" t="s">
        <v>13</v>
      </c>
      <c r="P3" s="3" t="s">
        <v>15</v>
      </c>
      <c r="Q3" s="3" t="s">
        <v>30</v>
      </c>
      <c r="R3" s="3" t="s">
        <v>12</v>
      </c>
      <c r="S3" s="3" t="s">
        <v>13</v>
      </c>
      <c r="T3" s="3" t="s">
        <v>15</v>
      </c>
      <c r="U3" s="3" t="s">
        <v>30</v>
      </c>
      <c r="V3" s="3" t="s">
        <v>15</v>
      </c>
      <c r="W3" s="3" t="s">
        <v>30</v>
      </c>
      <c r="X3" s="3" t="s">
        <v>12</v>
      </c>
      <c r="Y3" s="3" t="s">
        <v>13</v>
      </c>
      <c r="Z3" s="3" t="s">
        <v>15</v>
      </c>
      <c r="AA3" s="3" t="s">
        <v>30</v>
      </c>
      <c r="AB3" s="3" t="s">
        <v>12</v>
      </c>
      <c r="AC3" s="3" t="s">
        <v>13</v>
      </c>
      <c r="AD3" s="3" t="s">
        <v>15</v>
      </c>
      <c r="AE3" s="3" t="s">
        <v>30</v>
      </c>
      <c r="AF3" s="3" t="s">
        <v>12</v>
      </c>
      <c r="AG3" s="3" t="s">
        <v>13</v>
      </c>
      <c r="AH3" s="3" t="s">
        <v>15</v>
      </c>
      <c r="AI3" s="3" t="s">
        <v>30</v>
      </c>
      <c r="AJ3" s="3" t="s">
        <v>15</v>
      </c>
      <c r="AK3" s="3" t="s">
        <v>30</v>
      </c>
      <c r="AL3" s="3" t="s">
        <v>15</v>
      </c>
      <c r="AM3" s="4" t="s">
        <v>15</v>
      </c>
      <c r="AN3" s="4" t="s">
        <v>15</v>
      </c>
      <c r="AO3" s="4" t="s">
        <v>15</v>
      </c>
      <c r="AP3" s="5" t="s">
        <v>32</v>
      </c>
      <c r="AQ3" s="4" t="s">
        <v>15</v>
      </c>
      <c r="AR3" s="5" t="s">
        <v>32</v>
      </c>
      <c r="AS3" s="4" t="s">
        <v>15</v>
      </c>
      <c r="AT3" s="5" t="s">
        <v>32</v>
      </c>
      <c r="AU3" s="4" t="s">
        <v>15</v>
      </c>
      <c r="AV3" s="5" t="s">
        <v>32</v>
      </c>
      <c r="AW3" s="4" t="s">
        <v>15</v>
      </c>
      <c r="AX3" s="5" t="s">
        <v>32</v>
      </c>
      <c r="AY3" s="4" t="s">
        <v>15</v>
      </c>
      <c r="AZ3" s="5" t="s">
        <v>32</v>
      </c>
      <c r="BA3" s="4" t="s">
        <v>15</v>
      </c>
      <c r="BB3" s="5" t="s">
        <v>32</v>
      </c>
      <c r="BC3" s="4" t="s">
        <v>15</v>
      </c>
      <c r="BD3" s="4" t="s">
        <v>12</v>
      </c>
      <c r="BE3" s="4" t="s">
        <v>13</v>
      </c>
      <c r="BF3" s="4" t="s">
        <v>15</v>
      </c>
      <c r="BG3" s="4" t="s">
        <v>12</v>
      </c>
      <c r="BH3" s="4" t="s">
        <v>13</v>
      </c>
      <c r="BI3" s="4" t="s">
        <v>15</v>
      </c>
      <c r="BJ3" s="4" t="s">
        <v>12</v>
      </c>
      <c r="BK3" s="4" t="s">
        <v>13</v>
      </c>
      <c r="BL3" s="4" t="s">
        <v>15</v>
      </c>
      <c r="BM3" s="4" t="s">
        <v>12</v>
      </c>
      <c r="BN3" s="4" t="s">
        <v>13</v>
      </c>
      <c r="BO3" s="4" t="s">
        <v>15</v>
      </c>
      <c r="BP3" s="4" t="s">
        <v>12</v>
      </c>
      <c r="BQ3" s="4" t="s">
        <v>13</v>
      </c>
      <c r="BR3" s="4" t="s">
        <v>15</v>
      </c>
      <c r="BS3" s="4" t="s">
        <v>12</v>
      </c>
      <c r="BT3" s="4" t="s">
        <v>13</v>
      </c>
      <c r="BU3" s="4" t="s">
        <v>15</v>
      </c>
      <c r="BV3" s="4" t="s">
        <v>12</v>
      </c>
      <c r="BW3" s="4" t="s">
        <v>13</v>
      </c>
      <c r="BX3" s="4" t="s">
        <v>15</v>
      </c>
      <c r="BY3" s="4" t="s">
        <v>12</v>
      </c>
      <c r="BZ3" s="4" t="s">
        <v>13</v>
      </c>
      <c r="CA3" s="4" t="s">
        <v>15</v>
      </c>
      <c r="CB3" s="4" t="s">
        <v>12</v>
      </c>
      <c r="CC3" s="4" t="s">
        <v>13</v>
      </c>
      <c r="CD3" s="5" t="s">
        <v>12</v>
      </c>
      <c r="CE3" s="5" t="s">
        <v>13</v>
      </c>
      <c r="CF3" s="5" t="s">
        <v>14</v>
      </c>
      <c r="CG3" s="5" t="s">
        <v>15</v>
      </c>
      <c r="CH3" s="4" t="s">
        <v>15</v>
      </c>
      <c r="CI3" s="5" t="s">
        <v>31</v>
      </c>
      <c r="CJ3" s="5" t="s">
        <v>13</v>
      </c>
      <c r="CK3" s="5" t="s">
        <v>32</v>
      </c>
      <c r="CL3" s="5" t="s">
        <v>15</v>
      </c>
    </row>
    <row r="4" spans="1:90" x14ac:dyDescent="0.35">
      <c r="A4" s="23" t="s">
        <v>33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</row>
    <row r="5" spans="1:90" x14ac:dyDescent="0.35">
      <c r="A5" s="6" t="s">
        <v>34</v>
      </c>
      <c r="B5" s="6"/>
      <c r="C5" s="6"/>
      <c r="D5" s="6" t="s">
        <v>35</v>
      </c>
      <c r="E5" s="6">
        <v>20</v>
      </c>
      <c r="F5" s="6"/>
      <c r="G5" s="6"/>
      <c r="H5" s="6" t="s">
        <v>36</v>
      </c>
      <c r="I5" s="6" t="s">
        <v>37</v>
      </c>
      <c r="J5" s="17"/>
      <c r="K5" s="17"/>
      <c r="L5" s="17">
        <f xml:space="preserve"> 110*0.001</f>
        <v>0.11</v>
      </c>
      <c r="M5" s="17"/>
      <c r="N5" s="6"/>
      <c r="O5" s="6"/>
      <c r="P5" s="6">
        <v>15</v>
      </c>
      <c r="Q5" s="6">
        <v>45</v>
      </c>
      <c r="R5" s="6"/>
      <c r="S5" s="6"/>
      <c r="T5" s="6">
        <v>200</v>
      </c>
      <c r="U5" s="6"/>
      <c r="V5" s="6" t="s">
        <v>38</v>
      </c>
      <c r="W5" s="6" t="s">
        <v>39</v>
      </c>
      <c r="X5" s="8"/>
      <c r="Y5" s="8"/>
      <c r="Z5" s="8">
        <v>200</v>
      </c>
      <c r="AA5" s="8" t="s">
        <v>42</v>
      </c>
      <c r="AB5" s="8"/>
      <c r="AC5" s="8"/>
      <c r="AD5" s="8">
        <v>100</v>
      </c>
      <c r="AE5" s="8"/>
      <c r="AF5" s="8"/>
      <c r="AG5" s="8"/>
      <c r="AH5" s="8">
        <v>30</v>
      </c>
      <c r="AI5" s="8"/>
      <c r="AJ5" s="8">
        <v>120</v>
      </c>
      <c r="AK5" s="8"/>
      <c r="AL5" s="8">
        <v>400</v>
      </c>
      <c r="AM5" s="6" t="s">
        <v>39</v>
      </c>
      <c r="AN5" s="6" t="s">
        <v>45</v>
      </c>
      <c r="AO5" s="11">
        <v>31</v>
      </c>
      <c r="AP5" s="9"/>
      <c r="AQ5" s="9" t="s">
        <v>46</v>
      </c>
      <c r="AR5" s="9"/>
      <c r="AS5" s="11" t="s">
        <v>47</v>
      </c>
      <c r="AT5" s="11"/>
      <c r="AU5" s="9"/>
      <c r="AV5" s="9"/>
      <c r="AW5" s="9"/>
      <c r="AX5" s="9"/>
      <c r="AY5" s="9"/>
      <c r="AZ5" s="9"/>
      <c r="BA5" s="9"/>
      <c r="BB5" s="9"/>
      <c r="BC5" s="12">
        <f>36*0.001</f>
        <v>3.6000000000000004E-2</v>
      </c>
      <c r="BD5" s="9"/>
      <c r="BE5" s="9"/>
      <c r="BF5" s="12">
        <f>88*0.001</f>
        <v>8.7999999999999995E-2</v>
      </c>
      <c r="BG5" s="9"/>
      <c r="BH5" s="9"/>
      <c r="BI5" s="12">
        <f>156*0.001</f>
        <v>0.156</v>
      </c>
      <c r="BJ5" s="9"/>
      <c r="BK5" s="9"/>
      <c r="BL5" s="12">
        <f>107*0.001</f>
        <v>0.107</v>
      </c>
      <c r="BM5" s="9"/>
      <c r="BN5" s="9"/>
      <c r="BO5" s="12">
        <f>59*0.001</f>
        <v>5.9000000000000004E-2</v>
      </c>
      <c r="BP5" s="9"/>
      <c r="BQ5" s="9"/>
      <c r="BR5" s="12">
        <v>0.13500000000000001</v>
      </c>
      <c r="BS5" s="9"/>
      <c r="BT5" s="9"/>
      <c r="BU5" s="12">
        <v>7.2999999999999995E-2</v>
      </c>
      <c r="BV5" s="9"/>
      <c r="BW5" s="9"/>
      <c r="BX5" s="6">
        <v>2.8000000000000001E-2</v>
      </c>
      <c r="BY5" s="9"/>
      <c r="BZ5" s="9"/>
      <c r="CA5" s="6">
        <v>8.7000000000000008E-2</v>
      </c>
      <c r="CB5" s="9"/>
      <c r="CC5" s="9"/>
      <c r="CD5" s="10" t="s">
        <v>40</v>
      </c>
      <c r="CE5" s="10" t="s">
        <v>40</v>
      </c>
      <c r="CF5" s="10" t="s">
        <v>40</v>
      </c>
      <c r="CG5" s="10" t="s">
        <v>41</v>
      </c>
      <c r="CH5" s="9"/>
      <c r="CI5" s="10" t="s">
        <v>43</v>
      </c>
      <c r="CJ5" s="10" t="s">
        <v>43</v>
      </c>
      <c r="CK5" s="10" t="s">
        <v>43</v>
      </c>
      <c r="CL5" s="10" t="s">
        <v>44</v>
      </c>
    </row>
    <row r="6" spans="1:90" ht="15.5" x14ac:dyDescent="0.35">
      <c r="A6" s="6" t="s">
        <v>48</v>
      </c>
      <c r="B6" s="6" t="s">
        <v>49</v>
      </c>
      <c r="C6" s="6">
        <v>11</v>
      </c>
      <c r="D6" s="6"/>
      <c r="E6" s="6" t="s">
        <v>50</v>
      </c>
      <c r="F6" s="6" t="s">
        <v>51</v>
      </c>
      <c r="G6" s="6">
        <v>3</v>
      </c>
      <c r="H6" s="6"/>
      <c r="I6" s="6" t="s">
        <v>52</v>
      </c>
      <c r="J6" s="17"/>
      <c r="K6" s="17"/>
      <c r="L6" s="17">
        <f>113*0.001</f>
        <v>0.113</v>
      </c>
      <c r="M6" s="17"/>
      <c r="N6" s="6"/>
      <c r="O6" s="6"/>
      <c r="P6" s="6">
        <v>20</v>
      </c>
      <c r="Q6" s="6" t="s">
        <v>44</v>
      </c>
      <c r="R6" s="6"/>
      <c r="S6" s="6"/>
      <c r="T6" s="6">
        <v>220</v>
      </c>
      <c r="U6" s="6"/>
      <c r="V6" s="6" t="s">
        <v>53</v>
      </c>
      <c r="W6" s="6" t="s">
        <v>54</v>
      </c>
      <c r="X6" s="8"/>
      <c r="Y6" s="8"/>
      <c r="Z6" s="8">
        <v>260</v>
      </c>
      <c r="AA6" s="8" t="s">
        <v>57</v>
      </c>
      <c r="AB6" s="8"/>
      <c r="AC6" s="8"/>
      <c r="AD6" s="8">
        <v>275</v>
      </c>
      <c r="AE6" s="8"/>
      <c r="AF6" s="8"/>
      <c r="AG6" s="8"/>
      <c r="AH6" s="8">
        <v>75</v>
      </c>
      <c r="AI6" s="8"/>
      <c r="AJ6" s="8">
        <v>370</v>
      </c>
      <c r="AK6" s="8"/>
      <c r="AL6" s="8">
        <v>700</v>
      </c>
      <c r="AM6" s="6" t="s">
        <v>59</v>
      </c>
      <c r="AN6" s="6" t="s">
        <v>60</v>
      </c>
      <c r="AO6" s="11">
        <v>30</v>
      </c>
      <c r="AP6" s="9"/>
      <c r="AQ6" s="9" t="s">
        <v>61</v>
      </c>
      <c r="AR6" s="9"/>
      <c r="AS6" s="11" t="s">
        <v>47</v>
      </c>
      <c r="AT6" s="11"/>
      <c r="AU6" s="9"/>
      <c r="AV6" s="9"/>
      <c r="AW6" s="9"/>
      <c r="AX6" s="9"/>
      <c r="AY6" s="9"/>
      <c r="AZ6" s="9"/>
      <c r="BA6" s="9"/>
      <c r="BB6" s="9"/>
      <c r="BC6" s="9"/>
      <c r="BD6" s="12">
        <f>22*0.001</f>
        <v>2.1999999999999999E-2</v>
      </c>
      <c r="BE6" s="12">
        <f>32*0.001</f>
        <v>3.2000000000000001E-2</v>
      </c>
      <c r="BF6" s="9"/>
      <c r="BG6" s="12">
        <f>30*0.001</f>
        <v>0.03</v>
      </c>
      <c r="BH6" s="12">
        <f>43*0.001</f>
        <v>4.3000000000000003E-2</v>
      </c>
      <c r="BI6" s="9"/>
      <c r="BJ6" s="12">
        <f>65*0.001</f>
        <v>6.5000000000000002E-2</v>
      </c>
      <c r="BK6" s="12">
        <f>93*0.001</f>
        <v>9.2999999999999999E-2</v>
      </c>
      <c r="BL6" s="9"/>
      <c r="BM6" s="12">
        <f>62*0.001</f>
        <v>6.2E-2</v>
      </c>
      <c r="BN6" s="12">
        <f>89*0.001</f>
        <v>8.8999999999999996E-2</v>
      </c>
      <c r="BO6" s="9"/>
      <c r="BP6" s="12">
        <f>30*0.001</f>
        <v>0.03</v>
      </c>
      <c r="BQ6" s="12">
        <v>4.3000000000000003E-2</v>
      </c>
      <c r="BR6" s="9"/>
      <c r="BS6" s="12">
        <v>5.8000000000000003E-2</v>
      </c>
      <c r="BT6" s="12">
        <v>8.4000000000000005E-2</v>
      </c>
      <c r="BU6" s="9"/>
      <c r="BV6" s="12">
        <v>3.4000000000000002E-2</v>
      </c>
      <c r="BW6" s="12">
        <v>4.9000000000000002E-2</v>
      </c>
      <c r="BX6" s="9"/>
      <c r="BY6" s="6">
        <v>9.0000000000000011E-3</v>
      </c>
      <c r="BZ6" s="6">
        <v>1.3000000000000001E-2</v>
      </c>
      <c r="CA6" s="9"/>
      <c r="CB6" s="6">
        <v>3.9E-2</v>
      </c>
      <c r="CC6" s="6">
        <v>5.8000000000000003E-2</v>
      </c>
      <c r="CD6" s="10" t="s">
        <v>55</v>
      </c>
      <c r="CE6" s="10" t="s">
        <v>56</v>
      </c>
      <c r="CF6" s="10" t="s">
        <v>40</v>
      </c>
      <c r="CG6" s="7" t="s">
        <v>43</v>
      </c>
      <c r="CH6" s="9"/>
      <c r="CI6" s="10" t="s">
        <v>43</v>
      </c>
      <c r="CJ6" s="10" t="s">
        <v>43</v>
      </c>
      <c r="CK6" s="10" t="s">
        <v>43</v>
      </c>
      <c r="CL6" s="10" t="s">
        <v>58</v>
      </c>
    </row>
    <row r="7" spans="1:90" x14ac:dyDescent="0.35">
      <c r="A7" s="21" t="s">
        <v>62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</row>
    <row r="8" spans="1:90" ht="58" x14ac:dyDescent="0.35">
      <c r="A8" s="6" t="s">
        <v>63</v>
      </c>
      <c r="B8" s="6" t="s">
        <v>64</v>
      </c>
      <c r="C8" s="6">
        <v>11</v>
      </c>
      <c r="D8" s="6"/>
      <c r="E8" s="6">
        <v>40</v>
      </c>
      <c r="F8" s="6" t="s">
        <v>51</v>
      </c>
      <c r="G8" s="6">
        <v>3</v>
      </c>
      <c r="H8" s="6"/>
      <c r="I8" s="6">
        <v>7</v>
      </c>
      <c r="J8" s="17">
        <f>65*0.001</f>
        <v>6.5000000000000002E-2</v>
      </c>
      <c r="K8" s="17">
        <f>90*0.001</f>
        <v>0.09</v>
      </c>
      <c r="L8" s="17"/>
      <c r="M8" s="17">
        <f>200*0.001</f>
        <v>0.2</v>
      </c>
      <c r="N8" s="6">
        <v>17</v>
      </c>
      <c r="O8" s="6">
        <v>20</v>
      </c>
      <c r="P8" s="6"/>
      <c r="Q8" s="6">
        <v>90</v>
      </c>
      <c r="R8" s="6">
        <v>260</v>
      </c>
      <c r="S8" s="6">
        <v>340</v>
      </c>
      <c r="T8" s="6"/>
      <c r="U8" s="6" t="s">
        <v>42</v>
      </c>
      <c r="V8" s="6" t="s">
        <v>39</v>
      </c>
      <c r="W8" s="6" t="s">
        <v>65</v>
      </c>
      <c r="X8" s="8">
        <v>500</v>
      </c>
      <c r="Y8" s="8">
        <v>700</v>
      </c>
      <c r="Z8" s="8"/>
      <c r="AA8" s="8" t="s">
        <v>68</v>
      </c>
      <c r="AB8" s="8">
        <v>380</v>
      </c>
      <c r="AC8" s="8">
        <v>460</v>
      </c>
      <c r="AD8" s="8"/>
      <c r="AE8" s="8" t="s">
        <v>69</v>
      </c>
      <c r="AF8" s="8">
        <v>65</v>
      </c>
      <c r="AG8" s="8">
        <v>80</v>
      </c>
      <c r="AH8" s="8"/>
      <c r="AI8" s="8">
        <v>65</v>
      </c>
      <c r="AJ8" s="8" t="s">
        <v>42</v>
      </c>
      <c r="AK8" s="8" t="s">
        <v>57</v>
      </c>
      <c r="AL8" s="8" t="s">
        <v>69</v>
      </c>
      <c r="AM8" s="6" t="s">
        <v>65</v>
      </c>
      <c r="AN8" s="6" t="s">
        <v>37</v>
      </c>
      <c r="AO8" s="9"/>
      <c r="AP8" s="11" t="s">
        <v>73</v>
      </c>
      <c r="AQ8" s="9"/>
      <c r="AR8" s="13" t="s">
        <v>183</v>
      </c>
      <c r="AS8" s="9"/>
      <c r="AT8" s="9" t="s">
        <v>184</v>
      </c>
      <c r="AU8" s="9"/>
      <c r="AV8" s="11" t="s">
        <v>182</v>
      </c>
      <c r="AW8" s="9"/>
      <c r="AX8" s="11" t="s">
        <v>75</v>
      </c>
      <c r="AY8" s="9"/>
      <c r="AZ8" s="11" t="s">
        <v>76</v>
      </c>
      <c r="BA8" s="9"/>
      <c r="BB8" s="9"/>
      <c r="BC8" s="9"/>
      <c r="BD8" s="12">
        <f>16*0.001</f>
        <v>1.6E-2</v>
      </c>
      <c r="BE8" s="12">
        <f>21*0.001</f>
        <v>2.1000000000000001E-2</v>
      </c>
      <c r="BF8" s="9"/>
      <c r="BG8" s="12">
        <f>22*0.001</f>
        <v>2.1999999999999999E-2</v>
      </c>
      <c r="BH8" s="12">
        <f>28*0.001</f>
        <v>2.8000000000000001E-2</v>
      </c>
      <c r="BI8" s="9"/>
      <c r="BJ8" s="12">
        <f>48*0.001</f>
        <v>4.8000000000000001E-2</v>
      </c>
      <c r="BK8" s="12">
        <f>63*0.001</f>
        <v>6.3E-2</v>
      </c>
      <c r="BL8" s="9"/>
      <c r="BM8" s="12">
        <f>45*0.001</f>
        <v>4.4999999999999998E-2</v>
      </c>
      <c r="BN8" s="12">
        <f>58*0.001</f>
        <v>5.8000000000000003E-2</v>
      </c>
      <c r="BO8" s="9"/>
      <c r="BP8" s="12">
        <f>22*0.001</f>
        <v>2.1999999999999999E-2</v>
      </c>
      <c r="BQ8" s="12">
        <v>2.8000000000000001E-2</v>
      </c>
      <c r="BR8" s="9"/>
      <c r="BS8" s="12">
        <v>4.1000000000000002E-2</v>
      </c>
      <c r="BT8" s="12">
        <v>5.3999999999999999E-2</v>
      </c>
      <c r="BU8" s="9"/>
      <c r="BV8" s="12">
        <v>2.4E-2</v>
      </c>
      <c r="BW8" s="12">
        <v>3.2000000000000001E-2</v>
      </c>
      <c r="BX8" s="9"/>
      <c r="BY8" s="12">
        <v>6.0000000000000001E-3</v>
      </c>
      <c r="BZ8" s="12">
        <v>8.0000000000000002E-3</v>
      </c>
      <c r="CA8" s="9"/>
      <c r="CB8" s="12">
        <v>2.8000000000000001E-2</v>
      </c>
      <c r="CC8" s="12">
        <v>3.6999999999999998E-2</v>
      </c>
      <c r="CD8" s="10" t="s">
        <v>66</v>
      </c>
      <c r="CE8" s="19">
        <v>1.46</v>
      </c>
      <c r="CF8" s="10" t="s">
        <v>67</v>
      </c>
      <c r="CG8" s="7" t="s">
        <v>43</v>
      </c>
      <c r="CH8" s="9">
        <v>19</v>
      </c>
      <c r="CI8" s="10" t="s">
        <v>70</v>
      </c>
      <c r="CJ8" s="10" t="s">
        <v>71</v>
      </c>
      <c r="CK8" s="10" t="s">
        <v>72</v>
      </c>
      <c r="CL8" s="10" t="s">
        <v>43</v>
      </c>
    </row>
    <row r="9" spans="1:90" ht="58" x14ac:dyDescent="0.35">
      <c r="A9" s="6" t="s">
        <v>77</v>
      </c>
      <c r="B9" s="6" t="s">
        <v>78</v>
      </c>
      <c r="C9" s="6">
        <v>15</v>
      </c>
      <c r="D9" s="6"/>
      <c r="E9" s="6">
        <v>40</v>
      </c>
      <c r="F9" s="6" t="s">
        <v>79</v>
      </c>
      <c r="G9" s="6">
        <v>4</v>
      </c>
      <c r="H9" s="6"/>
      <c r="I9" s="6">
        <v>12</v>
      </c>
      <c r="J9" s="17">
        <f>65*0.001</f>
        <v>6.5000000000000002E-2</v>
      </c>
      <c r="K9" s="17">
        <f>90*0.001</f>
        <v>0.09</v>
      </c>
      <c r="L9" s="17"/>
      <c r="M9" s="17">
        <f>300*0.001</f>
        <v>0.3</v>
      </c>
      <c r="N9" s="6">
        <v>23</v>
      </c>
      <c r="O9" s="6">
        <v>30</v>
      </c>
      <c r="P9" s="6"/>
      <c r="Q9" s="6">
        <v>150</v>
      </c>
      <c r="R9" s="6">
        <v>340</v>
      </c>
      <c r="S9" s="6">
        <v>440</v>
      </c>
      <c r="T9" s="6"/>
      <c r="U9" s="6" t="s">
        <v>69</v>
      </c>
      <c r="V9" s="6">
        <v>1</v>
      </c>
      <c r="W9" s="6" t="s">
        <v>80</v>
      </c>
      <c r="X9" s="8">
        <v>800</v>
      </c>
      <c r="Y9" s="8" t="s">
        <v>42</v>
      </c>
      <c r="Z9" s="8"/>
      <c r="AA9" s="8" t="s">
        <v>68</v>
      </c>
      <c r="AB9" s="8">
        <v>405</v>
      </c>
      <c r="AC9" s="8">
        <v>500</v>
      </c>
      <c r="AD9" s="8"/>
      <c r="AE9" s="8" t="s">
        <v>69</v>
      </c>
      <c r="AF9" s="8">
        <v>110</v>
      </c>
      <c r="AG9" s="8">
        <v>130</v>
      </c>
      <c r="AH9" s="8"/>
      <c r="AI9" s="8">
        <v>110</v>
      </c>
      <c r="AJ9" s="8" t="s">
        <v>83</v>
      </c>
      <c r="AK9" s="8" t="s">
        <v>84</v>
      </c>
      <c r="AL9" s="8" t="s">
        <v>85</v>
      </c>
      <c r="AM9" s="6" t="s">
        <v>86</v>
      </c>
      <c r="AN9" s="6" t="s">
        <v>87</v>
      </c>
      <c r="AO9" s="9"/>
      <c r="AP9" s="11" t="s">
        <v>88</v>
      </c>
      <c r="AQ9" s="9"/>
      <c r="AR9" s="13" t="s">
        <v>183</v>
      </c>
      <c r="AS9" s="9"/>
      <c r="AT9" s="9" t="s">
        <v>184</v>
      </c>
      <c r="AU9" s="9"/>
      <c r="AV9" s="11" t="s">
        <v>74</v>
      </c>
      <c r="AW9" s="9"/>
      <c r="AX9" s="11" t="s">
        <v>75</v>
      </c>
      <c r="AY9" s="9"/>
      <c r="AZ9" s="11" t="s">
        <v>76</v>
      </c>
      <c r="BA9" s="9"/>
      <c r="BB9" s="9"/>
      <c r="BC9" s="9"/>
      <c r="BD9" s="12">
        <f>13*0.001</f>
        <v>1.3000000000000001E-2</v>
      </c>
      <c r="BE9" s="12">
        <f>16*0.001</f>
        <v>1.6E-2</v>
      </c>
      <c r="BF9" s="9"/>
      <c r="BG9" s="12">
        <f>18*0.001</f>
        <v>1.8000000000000002E-2</v>
      </c>
      <c r="BH9" s="12">
        <f>22*0.001</f>
        <v>2.1999999999999999E-2</v>
      </c>
      <c r="BI9" s="9"/>
      <c r="BJ9" s="12">
        <f>40*0.001</f>
        <v>0.04</v>
      </c>
      <c r="BK9" s="12">
        <f>49*0.001</f>
        <v>4.9000000000000002E-2</v>
      </c>
      <c r="BL9" s="9"/>
      <c r="BM9" s="12">
        <f>37*0.001</f>
        <v>3.6999999999999998E-2</v>
      </c>
      <c r="BN9" s="12">
        <f>46*0.001</f>
        <v>4.5999999999999999E-2</v>
      </c>
      <c r="BO9" s="9"/>
      <c r="BP9" s="12">
        <f>18*0.001</f>
        <v>1.8000000000000002E-2</v>
      </c>
      <c r="BQ9" s="12">
        <v>2.1999999999999999E-2</v>
      </c>
      <c r="BR9" s="9"/>
      <c r="BS9" s="12">
        <v>3.3000000000000002E-2</v>
      </c>
      <c r="BT9" s="12">
        <v>4.1000000000000002E-2</v>
      </c>
      <c r="BU9" s="9"/>
      <c r="BV9" s="12">
        <v>1.9E-2</v>
      </c>
      <c r="BW9" s="12">
        <v>2.4E-2</v>
      </c>
      <c r="BX9" s="9"/>
      <c r="BY9" s="12">
        <v>5.0000000000000001E-3</v>
      </c>
      <c r="BZ9" s="12">
        <v>6.0000000000000001E-3</v>
      </c>
      <c r="CA9" s="9"/>
      <c r="CB9" s="12">
        <v>2.3E-2</v>
      </c>
      <c r="CC9" s="12">
        <v>2.8000000000000001E-2</v>
      </c>
      <c r="CD9" s="10" t="s">
        <v>81</v>
      </c>
      <c r="CE9" s="10" t="s">
        <v>82</v>
      </c>
      <c r="CF9" s="10" t="s">
        <v>67</v>
      </c>
      <c r="CG9" s="7" t="s">
        <v>43</v>
      </c>
      <c r="CH9" s="9">
        <v>25</v>
      </c>
      <c r="CI9" s="10" t="s">
        <v>70</v>
      </c>
      <c r="CJ9" s="10" t="s">
        <v>71</v>
      </c>
      <c r="CK9" s="10" t="s">
        <v>72</v>
      </c>
      <c r="CL9" s="10" t="s">
        <v>43</v>
      </c>
    </row>
    <row r="10" spans="1:90" x14ac:dyDescent="0.35">
      <c r="A10" s="21" t="s">
        <v>89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</row>
    <row r="11" spans="1:90" ht="58" x14ac:dyDescent="0.35">
      <c r="A11" s="6" t="s">
        <v>90</v>
      </c>
      <c r="B11" s="6" t="s">
        <v>91</v>
      </c>
      <c r="C11" s="6">
        <v>12</v>
      </c>
      <c r="D11" s="6"/>
      <c r="E11" s="6">
        <v>40</v>
      </c>
      <c r="F11" s="6" t="s">
        <v>92</v>
      </c>
      <c r="G11" s="6">
        <v>6</v>
      </c>
      <c r="H11" s="6"/>
      <c r="I11" s="6">
        <v>25</v>
      </c>
      <c r="J11" s="17">
        <v>73</v>
      </c>
      <c r="K11" s="17">
        <f>120*0.001</f>
        <v>0.12</v>
      </c>
      <c r="L11" s="17"/>
      <c r="M11" s="17">
        <f>600*0.001</f>
        <v>0.6</v>
      </c>
      <c r="N11" s="6">
        <v>35</v>
      </c>
      <c r="O11" s="6">
        <v>40</v>
      </c>
      <c r="P11" s="6"/>
      <c r="Q11" s="6">
        <v>280</v>
      </c>
      <c r="R11" s="6">
        <v>540</v>
      </c>
      <c r="S11" s="6">
        <v>700</v>
      </c>
      <c r="T11" s="6"/>
      <c r="U11" s="6" t="s">
        <v>93</v>
      </c>
      <c r="V11" s="6">
        <v>2</v>
      </c>
      <c r="W11" s="6" t="s">
        <v>94</v>
      </c>
      <c r="X11" s="8" t="s">
        <v>95</v>
      </c>
      <c r="Y11" s="8" t="s">
        <v>96</v>
      </c>
      <c r="Z11" s="8"/>
      <c r="AA11" s="8" t="s">
        <v>69</v>
      </c>
      <c r="AB11" s="8">
        <v>1.0549999999999999</v>
      </c>
      <c r="AC11" s="8" t="s">
        <v>97</v>
      </c>
      <c r="AD11" s="8"/>
      <c r="AE11" s="8" t="s">
        <v>98</v>
      </c>
      <c r="AF11" s="8">
        <v>200</v>
      </c>
      <c r="AG11" s="8">
        <v>240</v>
      </c>
      <c r="AH11" s="8"/>
      <c r="AI11" s="8">
        <v>350</v>
      </c>
      <c r="AJ11" s="8" t="s">
        <v>57</v>
      </c>
      <c r="AK11" s="8" t="s">
        <v>99</v>
      </c>
      <c r="AL11" s="8" t="s">
        <v>100</v>
      </c>
      <c r="AM11" s="6" t="s">
        <v>102</v>
      </c>
      <c r="AN11" s="6" t="s">
        <v>103</v>
      </c>
      <c r="AO11" s="9"/>
      <c r="AP11" s="11" t="s">
        <v>104</v>
      </c>
      <c r="AQ11" s="9"/>
      <c r="AR11" s="13" t="s">
        <v>183</v>
      </c>
      <c r="AS11" s="9"/>
      <c r="AT11" s="9" t="s">
        <v>184</v>
      </c>
      <c r="AU11" s="9"/>
      <c r="AV11" s="11" t="s">
        <v>74</v>
      </c>
      <c r="AW11" s="9"/>
      <c r="AX11" s="11" t="s">
        <v>75</v>
      </c>
      <c r="AY11" s="9"/>
      <c r="AZ11" s="11" t="s">
        <v>76</v>
      </c>
      <c r="BA11" s="9"/>
      <c r="BB11" s="11" t="s">
        <v>115</v>
      </c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14" t="s">
        <v>81</v>
      </c>
      <c r="CE11" s="14" t="s">
        <v>82</v>
      </c>
      <c r="CF11" s="14" t="s">
        <v>67</v>
      </c>
      <c r="CG11" s="7" t="s">
        <v>43</v>
      </c>
      <c r="CH11" s="14" t="s">
        <v>101</v>
      </c>
      <c r="CI11" s="10" t="s">
        <v>70</v>
      </c>
      <c r="CJ11" s="10" t="s">
        <v>71</v>
      </c>
      <c r="CK11" s="10" t="s">
        <v>72</v>
      </c>
      <c r="CL11" s="10" t="s">
        <v>43</v>
      </c>
    </row>
    <row r="12" spans="1:90" ht="58" x14ac:dyDescent="0.35">
      <c r="A12" s="6" t="s">
        <v>105</v>
      </c>
      <c r="B12" s="6" t="s">
        <v>106</v>
      </c>
      <c r="C12" s="6">
        <v>17</v>
      </c>
      <c r="D12" s="6"/>
      <c r="E12" s="6">
        <v>45</v>
      </c>
      <c r="F12" s="6" t="s">
        <v>107</v>
      </c>
      <c r="G12" s="6">
        <v>13</v>
      </c>
      <c r="H12" s="6"/>
      <c r="I12" s="6">
        <v>35</v>
      </c>
      <c r="J12" s="17">
        <f>95*0.001</f>
        <v>9.5000000000000001E-2</v>
      </c>
      <c r="K12" s="17">
        <f>150*0.001</f>
        <v>0.15</v>
      </c>
      <c r="L12" s="17"/>
      <c r="M12" s="17">
        <f>900*0.001</f>
        <v>0.9</v>
      </c>
      <c r="N12" s="6">
        <v>45</v>
      </c>
      <c r="O12" s="6">
        <v>55</v>
      </c>
      <c r="P12" s="6"/>
      <c r="Q12" s="6">
        <v>400</v>
      </c>
      <c r="R12" s="6">
        <v>685</v>
      </c>
      <c r="S12" s="6">
        <v>890</v>
      </c>
      <c r="T12" s="6"/>
      <c r="U12" s="6" t="s">
        <v>108</v>
      </c>
      <c r="V12" s="6">
        <v>3</v>
      </c>
      <c r="W12" s="6" t="s">
        <v>94</v>
      </c>
      <c r="X12" s="8" t="s">
        <v>95</v>
      </c>
      <c r="Y12" s="8" t="s">
        <v>96</v>
      </c>
      <c r="Z12" s="8"/>
      <c r="AA12" s="8" t="s">
        <v>69</v>
      </c>
      <c r="AB12" s="8">
        <v>1.0549999999999999</v>
      </c>
      <c r="AC12" s="8" t="s">
        <v>97</v>
      </c>
      <c r="AD12" s="8"/>
      <c r="AE12" s="8" t="s">
        <v>98</v>
      </c>
      <c r="AF12" s="8">
        <v>340</v>
      </c>
      <c r="AG12" s="8">
        <v>410</v>
      </c>
      <c r="AH12" s="8"/>
      <c r="AI12" s="8">
        <v>350</v>
      </c>
      <c r="AJ12" s="8" t="s">
        <v>57</v>
      </c>
      <c r="AK12" s="8" t="s">
        <v>99</v>
      </c>
      <c r="AL12" s="8" t="s">
        <v>111</v>
      </c>
      <c r="AM12" s="6" t="s">
        <v>113</v>
      </c>
      <c r="AN12" s="6" t="s">
        <v>114</v>
      </c>
      <c r="AO12" s="9"/>
      <c r="AP12" s="11" t="s">
        <v>104</v>
      </c>
      <c r="AQ12" s="9"/>
      <c r="AR12" s="13" t="s">
        <v>183</v>
      </c>
      <c r="AS12" s="9"/>
      <c r="AT12" s="9" t="s">
        <v>184</v>
      </c>
      <c r="AU12" s="9"/>
      <c r="AV12" s="11" t="s">
        <v>74</v>
      </c>
      <c r="AW12" s="9"/>
      <c r="AX12" s="11" t="s">
        <v>75</v>
      </c>
      <c r="AY12" s="9"/>
      <c r="AZ12" s="11" t="s">
        <v>76</v>
      </c>
      <c r="BA12" s="9"/>
      <c r="BB12" s="11" t="s">
        <v>115</v>
      </c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14" t="s">
        <v>109</v>
      </c>
      <c r="CE12" s="14" t="s">
        <v>110</v>
      </c>
      <c r="CF12" s="14" t="s">
        <v>67</v>
      </c>
      <c r="CG12" s="7" t="s">
        <v>43</v>
      </c>
      <c r="CH12" s="14" t="s">
        <v>112</v>
      </c>
      <c r="CI12" s="10" t="s">
        <v>70</v>
      </c>
      <c r="CJ12" s="10" t="s">
        <v>71</v>
      </c>
      <c r="CK12" s="10" t="s">
        <v>72</v>
      </c>
      <c r="CL12" s="10" t="s">
        <v>43</v>
      </c>
    </row>
    <row r="13" spans="1:90" ht="15.5" x14ac:dyDescent="0.35">
      <c r="A13" s="6" t="s">
        <v>116</v>
      </c>
      <c r="B13" s="6" t="s">
        <v>117</v>
      </c>
      <c r="C13" s="6">
        <v>13</v>
      </c>
      <c r="D13" s="6"/>
      <c r="E13" s="6">
        <v>45</v>
      </c>
      <c r="F13" s="6" t="s">
        <v>118</v>
      </c>
      <c r="G13" s="6">
        <v>14</v>
      </c>
      <c r="H13" s="6"/>
      <c r="I13" s="6">
        <v>40</v>
      </c>
      <c r="J13" s="17">
        <f t="shared" ref="J13:J16" si="0">95*0.001</f>
        <v>9.5000000000000001E-2</v>
      </c>
      <c r="K13" s="17">
        <f>150*0.001</f>
        <v>0.15</v>
      </c>
      <c r="L13" s="17"/>
      <c r="M13" s="17">
        <f>1100*0.001</f>
        <v>1.1000000000000001</v>
      </c>
      <c r="N13" s="6">
        <v>45</v>
      </c>
      <c r="O13" s="6">
        <v>55</v>
      </c>
      <c r="P13" s="6"/>
      <c r="Q13" s="6">
        <v>400</v>
      </c>
      <c r="R13" s="6">
        <v>700</v>
      </c>
      <c r="S13" s="6">
        <v>900</v>
      </c>
      <c r="T13" s="6"/>
      <c r="U13" s="6" t="s">
        <v>119</v>
      </c>
      <c r="V13" s="6">
        <v>4</v>
      </c>
      <c r="W13" s="6" t="s">
        <v>94</v>
      </c>
      <c r="X13" s="8">
        <v>800</v>
      </c>
      <c r="Y13" s="8" t="s">
        <v>42</v>
      </c>
      <c r="Z13" s="8"/>
      <c r="AA13" s="8" t="s">
        <v>68</v>
      </c>
      <c r="AB13" s="8">
        <v>580</v>
      </c>
      <c r="AC13" s="8">
        <v>700</v>
      </c>
      <c r="AD13" s="8"/>
      <c r="AE13" s="8" t="s">
        <v>98</v>
      </c>
      <c r="AF13" s="8">
        <v>330</v>
      </c>
      <c r="AG13" s="8">
        <v>400</v>
      </c>
      <c r="AH13" s="8"/>
      <c r="AI13" s="8">
        <v>350</v>
      </c>
      <c r="AJ13" s="8" t="s">
        <v>57</v>
      </c>
      <c r="AK13" s="8" t="s">
        <v>99</v>
      </c>
      <c r="AL13" s="8" t="s">
        <v>111</v>
      </c>
      <c r="AM13" s="6" t="s">
        <v>123</v>
      </c>
      <c r="AN13" s="6" t="s">
        <v>124</v>
      </c>
      <c r="AO13" s="9"/>
      <c r="AP13" s="11" t="s">
        <v>104</v>
      </c>
      <c r="AQ13" s="9"/>
      <c r="AR13" s="13"/>
      <c r="AS13" s="9"/>
      <c r="AT13" s="9"/>
      <c r="AU13" s="9"/>
      <c r="AV13" s="11"/>
      <c r="AW13" s="9"/>
      <c r="AX13" s="11"/>
      <c r="AY13" s="9"/>
      <c r="AZ13" s="11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14" t="s">
        <v>120</v>
      </c>
      <c r="CE13" s="14" t="s">
        <v>121</v>
      </c>
      <c r="CF13" s="14" t="s">
        <v>122</v>
      </c>
      <c r="CG13" s="7" t="s">
        <v>43</v>
      </c>
      <c r="CH13" s="14" t="s">
        <v>112</v>
      </c>
      <c r="CI13" s="10" t="s">
        <v>70</v>
      </c>
      <c r="CJ13" s="10" t="s">
        <v>71</v>
      </c>
      <c r="CK13" s="10" t="s">
        <v>72</v>
      </c>
      <c r="CL13" s="10" t="s">
        <v>43</v>
      </c>
    </row>
    <row r="14" spans="1:90" ht="15.5" x14ac:dyDescent="0.35">
      <c r="A14" s="6" t="s">
        <v>125</v>
      </c>
      <c r="B14" s="6" t="s">
        <v>117</v>
      </c>
      <c r="C14" s="6">
        <v>13</v>
      </c>
      <c r="D14" s="6"/>
      <c r="E14" s="6">
        <v>45</v>
      </c>
      <c r="F14" s="6" t="s">
        <v>118</v>
      </c>
      <c r="G14" s="6">
        <v>14</v>
      </c>
      <c r="H14" s="6"/>
      <c r="I14" s="6">
        <v>40</v>
      </c>
      <c r="J14" s="17">
        <f t="shared" si="0"/>
        <v>9.5000000000000001E-2</v>
      </c>
      <c r="K14" s="17">
        <f t="shared" ref="K14:K16" si="1">150*0.001</f>
        <v>0.15</v>
      </c>
      <c r="L14" s="17"/>
      <c r="M14" s="17">
        <f t="shared" ref="M14:M16" si="2">1100*0.001</f>
        <v>1.1000000000000001</v>
      </c>
      <c r="N14" s="6">
        <v>45</v>
      </c>
      <c r="O14" s="6">
        <v>55</v>
      </c>
      <c r="P14" s="6"/>
      <c r="Q14" s="6">
        <v>400</v>
      </c>
      <c r="R14" s="6">
        <v>700</v>
      </c>
      <c r="S14" s="6">
        <v>900</v>
      </c>
      <c r="T14" s="6"/>
      <c r="U14" s="6" t="s">
        <v>119</v>
      </c>
      <c r="V14" s="6">
        <v>4</v>
      </c>
      <c r="W14" s="6" t="s">
        <v>94</v>
      </c>
      <c r="X14" s="8">
        <v>800</v>
      </c>
      <c r="Y14" s="8" t="s">
        <v>42</v>
      </c>
      <c r="Z14" s="8"/>
      <c r="AA14" s="8" t="s">
        <v>68</v>
      </c>
      <c r="AB14" s="8">
        <v>580</v>
      </c>
      <c r="AC14" s="8">
        <v>700</v>
      </c>
      <c r="AD14" s="8"/>
      <c r="AE14" s="8" t="s">
        <v>98</v>
      </c>
      <c r="AF14" s="8">
        <v>350</v>
      </c>
      <c r="AG14" s="8">
        <v>420</v>
      </c>
      <c r="AH14" s="8"/>
      <c r="AI14" s="8">
        <v>350</v>
      </c>
      <c r="AJ14" s="8" t="s">
        <v>57</v>
      </c>
      <c r="AK14" s="8" t="s">
        <v>99</v>
      </c>
      <c r="AL14" s="8" t="s">
        <v>111</v>
      </c>
      <c r="AM14" s="6" t="s">
        <v>123</v>
      </c>
      <c r="AN14" s="6" t="s">
        <v>124</v>
      </c>
      <c r="AO14" s="9"/>
      <c r="AP14" s="11"/>
      <c r="AQ14" s="9"/>
      <c r="AR14" s="13"/>
      <c r="AS14" s="9"/>
      <c r="AT14" s="9"/>
      <c r="AU14" s="9"/>
      <c r="AV14" s="11"/>
      <c r="AW14" s="9"/>
      <c r="AX14" s="11"/>
      <c r="AY14" s="9"/>
      <c r="AZ14" s="11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14" t="s">
        <v>120</v>
      </c>
      <c r="CE14" s="14" t="s">
        <v>121</v>
      </c>
      <c r="CF14" s="14" t="s">
        <v>122</v>
      </c>
      <c r="CG14" s="7" t="s">
        <v>43</v>
      </c>
      <c r="CH14" s="14" t="s">
        <v>112</v>
      </c>
      <c r="CI14" s="10" t="s">
        <v>70</v>
      </c>
      <c r="CJ14" s="10" t="s">
        <v>71</v>
      </c>
      <c r="CK14" s="10" t="s">
        <v>72</v>
      </c>
      <c r="CL14" s="10" t="s">
        <v>43</v>
      </c>
    </row>
    <row r="15" spans="1:90" ht="15.5" x14ac:dyDescent="0.35">
      <c r="A15" s="6" t="s">
        <v>126</v>
      </c>
      <c r="B15" s="6" t="s">
        <v>117</v>
      </c>
      <c r="C15" s="6">
        <v>13</v>
      </c>
      <c r="D15" s="6"/>
      <c r="E15" s="6">
        <v>45</v>
      </c>
      <c r="F15" s="6" t="s">
        <v>118</v>
      </c>
      <c r="G15" s="6">
        <v>14</v>
      </c>
      <c r="H15" s="6"/>
      <c r="I15" s="6">
        <v>40</v>
      </c>
      <c r="J15" s="17">
        <f t="shared" si="0"/>
        <v>9.5000000000000001E-2</v>
      </c>
      <c r="K15" s="17">
        <f t="shared" si="1"/>
        <v>0.15</v>
      </c>
      <c r="L15" s="17"/>
      <c r="M15" s="17">
        <f t="shared" si="2"/>
        <v>1.1000000000000001</v>
      </c>
      <c r="N15" s="6">
        <v>45</v>
      </c>
      <c r="O15" s="6">
        <v>55</v>
      </c>
      <c r="P15" s="6"/>
      <c r="Q15" s="6">
        <v>400</v>
      </c>
      <c r="R15" s="6">
        <v>700</v>
      </c>
      <c r="S15" s="6">
        <v>900</v>
      </c>
      <c r="T15" s="6"/>
      <c r="U15" s="6" t="s">
        <v>119</v>
      </c>
      <c r="V15" s="6">
        <v>4</v>
      </c>
      <c r="W15" s="6" t="s">
        <v>94</v>
      </c>
      <c r="X15" s="8">
        <v>800</v>
      </c>
      <c r="Y15" s="8" t="s">
        <v>42</v>
      </c>
      <c r="Z15" s="8"/>
      <c r="AA15" s="8" t="s">
        <v>127</v>
      </c>
      <c r="AB15" s="8">
        <v>580</v>
      </c>
      <c r="AC15" s="8">
        <v>700</v>
      </c>
      <c r="AD15" s="8"/>
      <c r="AE15" s="8" t="s">
        <v>98</v>
      </c>
      <c r="AF15" s="8">
        <v>350</v>
      </c>
      <c r="AG15" s="8">
        <v>420</v>
      </c>
      <c r="AH15" s="8"/>
      <c r="AI15" s="8">
        <v>350</v>
      </c>
      <c r="AJ15" s="8" t="s">
        <v>96</v>
      </c>
      <c r="AK15" s="8" t="s">
        <v>99</v>
      </c>
      <c r="AL15" s="8" t="s">
        <v>111</v>
      </c>
      <c r="AM15" s="6" t="s">
        <v>123</v>
      </c>
      <c r="AN15" s="6" t="s">
        <v>124</v>
      </c>
      <c r="AO15" s="9"/>
      <c r="AP15" s="11"/>
      <c r="AQ15" s="9"/>
      <c r="AR15" s="13"/>
      <c r="AS15" s="9"/>
      <c r="AT15" s="9"/>
      <c r="AU15" s="9"/>
      <c r="AV15" s="11"/>
      <c r="AW15" s="9"/>
      <c r="AX15" s="11"/>
      <c r="AY15" s="9"/>
      <c r="AZ15" s="11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14" t="s">
        <v>120</v>
      </c>
      <c r="CE15" s="14" t="s">
        <v>121</v>
      </c>
      <c r="CF15" s="14" t="s">
        <v>122</v>
      </c>
      <c r="CG15" s="7" t="s">
        <v>43</v>
      </c>
      <c r="CH15" s="14" t="s">
        <v>128</v>
      </c>
      <c r="CI15" s="10" t="s">
        <v>70</v>
      </c>
      <c r="CJ15" s="10" t="s">
        <v>71</v>
      </c>
      <c r="CK15" s="10" t="s">
        <v>72</v>
      </c>
      <c r="CL15" s="10" t="s">
        <v>43</v>
      </c>
    </row>
    <row r="16" spans="1:90" ht="15.5" x14ac:dyDescent="0.35">
      <c r="A16" s="6" t="s">
        <v>129</v>
      </c>
      <c r="B16" s="6" t="s">
        <v>117</v>
      </c>
      <c r="C16" s="6">
        <v>13</v>
      </c>
      <c r="D16" s="6"/>
      <c r="E16" s="6">
        <v>45</v>
      </c>
      <c r="F16" s="6" t="s">
        <v>118</v>
      </c>
      <c r="G16" s="6">
        <v>14</v>
      </c>
      <c r="H16" s="6"/>
      <c r="I16" s="6">
        <v>40</v>
      </c>
      <c r="J16" s="17">
        <f t="shared" si="0"/>
        <v>9.5000000000000001E-2</v>
      </c>
      <c r="K16" s="17">
        <f t="shared" si="1"/>
        <v>0.15</v>
      </c>
      <c r="L16" s="17"/>
      <c r="M16" s="17">
        <f t="shared" si="2"/>
        <v>1.1000000000000001</v>
      </c>
      <c r="N16" s="6">
        <v>45</v>
      </c>
      <c r="O16" s="6">
        <v>55</v>
      </c>
      <c r="P16" s="6"/>
      <c r="Q16" s="6">
        <v>400</v>
      </c>
      <c r="R16" s="6">
        <v>700</v>
      </c>
      <c r="S16" s="6">
        <v>900</v>
      </c>
      <c r="T16" s="6"/>
      <c r="U16" s="6" t="s">
        <v>119</v>
      </c>
      <c r="V16" s="6">
        <v>4</v>
      </c>
      <c r="W16" s="6" t="s">
        <v>94</v>
      </c>
      <c r="X16" s="8" t="s">
        <v>42</v>
      </c>
      <c r="Y16" s="8" t="s">
        <v>83</v>
      </c>
      <c r="Z16" s="8"/>
      <c r="AA16" s="8" t="s">
        <v>127</v>
      </c>
      <c r="AB16" s="8">
        <v>580</v>
      </c>
      <c r="AC16" s="8">
        <v>700</v>
      </c>
      <c r="AD16" s="8"/>
      <c r="AE16" s="8" t="s">
        <v>69</v>
      </c>
      <c r="AF16" s="8">
        <v>350</v>
      </c>
      <c r="AG16" s="8">
        <v>420</v>
      </c>
      <c r="AH16" s="8"/>
      <c r="AI16" s="8">
        <v>350</v>
      </c>
      <c r="AJ16" s="8" t="s">
        <v>83</v>
      </c>
      <c r="AK16" s="8" t="s">
        <v>99</v>
      </c>
      <c r="AL16" s="8" t="s">
        <v>111</v>
      </c>
      <c r="AM16" s="6"/>
      <c r="AN16" s="6"/>
      <c r="AO16" s="9"/>
      <c r="AP16" s="11"/>
      <c r="AQ16" s="9"/>
      <c r="AR16" s="13"/>
      <c r="AS16" s="9"/>
      <c r="AT16" s="9"/>
      <c r="AU16" s="9"/>
      <c r="AV16" s="11"/>
      <c r="AW16" s="9"/>
      <c r="AX16" s="11"/>
      <c r="AY16" s="9"/>
      <c r="AZ16" s="11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14" t="s">
        <v>120</v>
      </c>
      <c r="CE16" s="14" t="s">
        <v>121</v>
      </c>
      <c r="CF16" s="14" t="s">
        <v>122</v>
      </c>
      <c r="CG16" s="7" t="s">
        <v>43</v>
      </c>
      <c r="CH16" s="14" t="s">
        <v>128</v>
      </c>
      <c r="CI16" s="10" t="s">
        <v>70</v>
      </c>
      <c r="CJ16" s="10" t="s">
        <v>71</v>
      </c>
      <c r="CK16" s="10" t="s">
        <v>72</v>
      </c>
      <c r="CL16" s="10" t="s">
        <v>43</v>
      </c>
    </row>
    <row r="17" spans="1:90" x14ac:dyDescent="0.35">
      <c r="A17" s="21" t="s">
        <v>130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</row>
    <row r="18" spans="1:90" ht="58" x14ac:dyDescent="0.35">
      <c r="A18" s="6" t="s">
        <v>90</v>
      </c>
      <c r="B18" s="6" t="s">
        <v>131</v>
      </c>
      <c r="C18" s="6">
        <v>13</v>
      </c>
      <c r="D18" s="6"/>
      <c r="E18" s="6">
        <v>40</v>
      </c>
      <c r="F18" s="6" t="s">
        <v>92</v>
      </c>
      <c r="G18" s="6">
        <v>6</v>
      </c>
      <c r="H18" s="6"/>
      <c r="I18" s="6">
        <v>25</v>
      </c>
      <c r="J18" s="17">
        <f>73*0.001</f>
        <v>7.2999999999999995E-2</v>
      </c>
      <c r="K18" s="17">
        <f>120*0.001</f>
        <v>0.12</v>
      </c>
      <c r="L18" s="17"/>
      <c r="M18" s="17">
        <f>600*0.001</f>
        <v>0.6</v>
      </c>
      <c r="N18" s="6">
        <v>35</v>
      </c>
      <c r="O18" s="6">
        <v>40</v>
      </c>
      <c r="P18" s="6"/>
      <c r="Q18" s="6">
        <v>280</v>
      </c>
      <c r="R18" s="6">
        <v>540</v>
      </c>
      <c r="S18" s="6">
        <v>700</v>
      </c>
      <c r="T18" s="6"/>
      <c r="U18" s="6" t="s">
        <v>93</v>
      </c>
      <c r="V18" s="6">
        <v>2</v>
      </c>
      <c r="W18" s="6" t="s">
        <v>94</v>
      </c>
      <c r="X18" s="8" t="s">
        <v>95</v>
      </c>
      <c r="Y18" s="8" t="s">
        <v>96</v>
      </c>
      <c r="Z18" s="8"/>
      <c r="AA18" s="8" t="s">
        <v>69</v>
      </c>
      <c r="AB18" s="8">
        <v>1.0549999999999999</v>
      </c>
      <c r="AC18" s="8" t="s">
        <v>97</v>
      </c>
      <c r="AD18" s="8"/>
      <c r="AE18" s="8" t="s">
        <v>98</v>
      </c>
      <c r="AF18" s="8">
        <v>200</v>
      </c>
      <c r="AG18" s="8">
        <v>240</v>
      </c>
      <c r="AH18" s="8"/>
      <c r="AI18" s="8">
        <v>350</v>
      </c>
      <c r="AJ18" s="8" t="s">
        <v>57</v>
      </c>
      <c r="AK18" s="8" t="s">
        <v>99</v>
      </c>
      <c r="AL18" s="8" t="s">
        <v>100</v>
      </c>
      <c r="AM18" s="6" t="s">
        <v>133</v>
      </c>
      <c r="AN18" s="6" t="s">
        <v>134</v>
      </c>
      <c r="AO18" s="9"/>
      <c r="AP18" s="11" t="s">
        <v>104</v>
      </c>
      <c r="AQ18" s="9"/>
      <c r="AR18" s="13" t="s">
        <v>183</v>
      </c>
      <c r="AS18" s="9"/>
      <c r="AT18" s="9" t="s">
        <v>184</v>
      </c>
      <c r="AU18" s="9"/>
      <c r="AV18" s="11" t="s">
        <v>74</v>
      </c>
      <c r="AW18" s="9"/>
      <c r="AX18" s="11" t="s">
        <v>75</v>
      </c>
      <c r="AY18" s="9"/>
      <c r="AZ18" s="11" t="s">
        <v>76</v>
      </c>
      <c r="BA18" s="9"/>
      <c r="BB18" s="11" t="s">
        <v>115</v>
      </c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10" t="s">
        <v>81</v>
      </c>
      <c r="CE18" s="10" t="s">
        <v>82</v>
      </c>
      <c r="CF18" s="10" t="s">
        <v>67</v>
      </c>
      <c r="CG18" s="20"/>
      <c r="CH18" s="14" t="s">
        <v>132</v>
      </c>
      <c r="CI18" s="10" t="s">
        <v>70</v>
      </c>
      <c r="CJ18" s="10" t="s">
        <v>71</v>
      </c>
      <c r="CK18" s="10" t="s">
        <v>72</v>
      </c>
      <c r="CL18" s="10" t="s">
        <v>43</v>
      </c>
    </row>
    <row r="19" spans="1:90" ht="58" x14ac:dyDescent="0.35">
      <c r="A19" s="6" t="s">
        <v>105</v>
      </c>
      <c r="B19" s="6" t="s">
        <v>135</v>
      </c>
      <c r="C19" s="6">
        <v>23</v>
      </c>
      <c r="D19" s="6"/>
      <c r="E19" s="6">
        <v>45</v>
      </c>
      <c r="F19" s="6" t="s">
        <v>136</v>
      </c>
      <c r="G19" s="6">
        <v>7</v>
      </c>
      <c r="H19" s="6"/>
      <c r="I19" s="6">
        <v>35</v>
      </c>
      <c r="J19" s="17">
        <f>95*0.001</f>
        <v>9.5000000000000001E-2</v>
      </c>
      <c r="K19" s="17">
        <f>150*0.001</f>
        <v>0.15</v>
      </c>
      <c r="L19" s="17"/>
      <c r="M19" s="17">
        <f>900*0.001</f>
        <v>0.9</v>
      </c>
      <c r="N19" s="6">
        <v>45</v>
      </c>
      <c r="O19" s="6">
        <v>55</v>
      </c>
      <c r="P19" s="6"/>
      <c r="Q19" s="6">
        <v>400</v>
      </c>
      <c r="R19" s="6">
        <v>685</v>
      </c>
      <c r="S19" s="6">
        <v>890</v>
      </c>
      <c r="T19" s="6"/>
      <c r="U19" s="6" t="s">
        <v>108</v>
      </c>
      <c r="V19" s="6">
        <v>3</v>
      </c>
      <c r="W19" s="6" t="s">
        <v>94</v>
      </c>
      <c r="X19" s="8" t="s">
        <v>95</v>
      </c>
      <c r="Y19" s="8" t="s">
        <v>96</v>
      </c>
      <c r="Z19" s="8"/>
      <c r="AA19" s="8" t="s">
        <v>69</v>
      </c>
      <c r="AB19" s="8">
        <v>1.0549999999999999</v>
      </c>
      <c r="AC19" s="8" t="s">
        <v>97</v>
      </c>
      <c r="AD19" s="8"/>
      <c r="AE19" s="8" t="s">
        <v>98</v>
      </c>
      <c r="AF19" s="8">
        <v>300</v>
      </c>
      <c r="AG19" s="8">
        <v>360</v>
      </c>
      <c r="AH19" s="8"/>
      <c r="AI19" s="8">
        <v>350</v>
      </c>
      <c r="AJ19" s="8" t="s">
        <v>57</v>
      </c>
      <c r="AK19" s="8" t="s">
        <v>99</v>
      </c>
      <c r="AL19" s="8" t="s">
        <v>111</v>
      </c>
      <c r="AM19" s="6" t="s">
        <v>138</v>
      </c>
      <c r="AN19" s="6" t="s">
        <v>103</v>
      </c>
      <c r="AO19" s="9"/>
      <c r="AP19" s="11" t="s">
        <v>104</v>
      </c>
      <c r="AQ19" s="9"/>
      <c r="AR19" s="13" t="s">
        <v>183</v>
      </c>
      <c r="AS19" s="9"/>
      <c r="AT19" s="9" t="s">
        <v>184</v>
      </c>
      <c r="AU19" s="9"/>
      <c r="AV19" s="11" t="s">
        <v>74</v>
      </c>
      <c r="AW19" s="9"/>
      <c r="AX19" s="11" t="s">
        <v>75</v>
      </c>
      <c r="AY19" s="9"/>
      <c r="AZ19" s="11" t="s">
        <v>76</v>
      </c>
      <c r="BA19" s="9"/>
      <c r="BB19" s="11" t="s">
        <v>115</v>
      </c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14" t="s">
        <v>137</v>
      </c>
      <c r="CE19" s="14" t="s">
        <v>110</v>
      </c>
      <c r="CF19" s="14" t="s">
        <v>67</v>
      </c>
      <c r="CG19" s="7" t="s">
        <v>43</v>
      </c>
      <c r="CH19" s="14" t="s">
        <v>132</v>
      </c>
      <c r="CI19" s="10" t="s">
        <v>70</v>
      </c>
      <c r="CJ19" s="10" t="s">
        <v>71</v>
      </c>
      <c r="CK19" s="10" t="s">
        <v>72</v>
      </c>
      <c r="CL19" s="10" t="s">
        <v>43</v>
      </c>
    </row>
    <row r="20" spans="1:90" ht="15.5" x14ac:dyDescent="0.35">
      <c r="A20" s="6" t="s">
        <v>116</v>
      </c>
      <c r="B20" s="6" t="s">
        <v>139</v>
      </c>
      <c r="C20" s="6">
        <v>27</v>
      </c>
      <c r="D20" s="6"/>
      <c r="E20" s="6">
        <v>45</v>
      </c>
      <c r="F20" s="6" t="s">
        <v>140</v>
      </c>
      <c r="G20" s="6">
        <v>8</v>
      </c>
      <c r="H20" s="6"/>
      <c r="I20" s="6">
        <v>40</v>
      </c>
      <c r="J20" s="17">
        <f t="shared" ref="J20:J23" si="3">95*0.001</f>
        <v>9.5000000000000001E-2</v>
      </c>
      <c r="K20" s="17">
        <f t="shared" ref="K20:K23" si="4">150*0.001</f>
        <v>0.15</v>
      </c>
      <c r="L20" s="17"/>
      <c r="M20" s="17">
        <f>1100*0.001</f>
        <v>1.1000000000000001</v>
      </c>
      <c r="N20" s="6">
        <v>45</v>
      </c>
      <c r="O20" s="6">
        <v>55</v>
      </c>
      <c r="P20" s="6"/>
      <c r="Q20" s="6">
        <v>400</v>
      </c>
      <c r="R20" s="6">
        <v>700</v>
      </c>
      <c r="S20" s="6">
        <v>900</v>
      </c>
      <c r="T20" s="6"/>
      <c r="U20" s="6" t="s">
        <v>119</v>
      </c>
      <c r="V20" s="6">
        <v>3</v>
      </c>
      <c r="W20" s="6" t="s">
        <v>94</v>
      </c>
      <c r="X20" s="8">
        <v>800</v>
      </c>
      <c r="Y20" s="8" t="s">
        <v>42</v>
      </c>
      <c r="Z20" s="8"/>
      <c r="AA20" s="8" t="s">
        <v>68</v>
      </c>
      <c r="AB20" s="8">
        <v>580</v>
      </c>
      <c r="AC20" s="8">
        <v>700</v>
      </c>
      <c r="AD20" s="8"/>
      <c r="AE20" s="8" t="s">
        <v>98</v>
      </c>
      <c r="AF20" s="8">
        <v>255</v>
      </c>
      <c r="AG20" s="8">
        <v>310</v>
      </c>
      <c r="AH20" s="8"/>
      <c r="AI20" s="8">
        <v>350</v>
      </c>
      <c r="AJ20" s="8" t="s">
        <v>57</v>
      </c>
      <c r="AK20" s="8" t="s">
        <v>99</v>
      </c>
      <c r="AL20" s="8" t="s">
        <v>111</v>
      </c>
      <c r="AM20" s="6" t="s">
        <v>142</v>
      </c>
      <c r="AN20" s="6" t="s">
        <v>143</v>
      </c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14" t="s">
        <v>120</v>
      </c>
      <c r="CE20" s="14" t="s">
        <v>121</v>
      </c>
      <c r="CF20" s="14" t="s">
        <v>122</v>
      </c>
      <c r="CG20" s="7" t="s">
        <v>43</v>
      </c>
      <c r="CH20" s="14" t="s">
        <v>141</v>
      </c>
      <c r="CI20" s="10" t="s">
        <v>70</v>
      </c>
      <c r="CJ20" s="10" t="s">
        <v>71</v>
      </c>
      <c r="CK20" s="10" t="s">
        <v>72</v>
      </c>
      <c r="CL20" s="10" t="s">
        <v>43</v>
      </c>
    </row>
    <row r="21" spans="1:90" ht="15.5" x14ac:dyDescent="0.35">
      <c r="A21" s="6" t="s">
        <v>125</v>
      </c>
      <c r="B21" s="6" t="s">
        <v>139</v>
      </c>
      <c r="C21" s="6">
        <v>27</v>
      </c>
      <c r="D21" s="6"/>
      <c r="E21" s="6">
        <v>45</v>
      </c>
      <c r="F21" s="6" t="s">
        <v>140</v>
      </c>
      <c r="G21" s="6">
        <v>8</v>
      </c>
      <c r="H21" s="6"/>
      <c r="I21" s="6">
        <v>40</v>
      </c>
      <c r="J21" s="17">
        <f t="shared" si="3"/>
        <v>9.5000000000000001E-2</v>
      </c>
      <c r="K21" s="17">
        <f t="shared" si="4"/>
        <v>0.15</v>
      </c>
      <c r="L21" s="17"/>
      <c r="M21" s="17">
        <f t="shared" ref="M21:M23" si="5">1100*0.001</f>
        <v>1.1000000000000001</v>
      </c>
      <c r="N21" s="6">
        <v>45</v>
      </c>
      <c r="O21" s="6">
        <v>55</v>
      </c>
      <c r="P21" s="6"/>
      <c r="Q21" s="6">
        <v>400</v>
      </c>
      <c r="R21" s="6">
        <v>700</v>
      </c>
      <c r="S21" s="6">
        <v>900</v>
      </c>
      <c r="T21" s="6"/>
      <c r="U21" s="6" t="s">
        <v>119</v>
      </c>
      <c r="V21" s="6">
        <v>3</v>
      </c>
      <c r="W21" s="6" t="s">
        <v>94</v>
      </c>
      <c r="X21" s="8">
        <v>800</v>
      </c>
      <c r="Y21" s="8" t="s">
        <v>42</v>
      </c>
      <c r="Z21" s="8"/>
      <c r="AA21" s="8" t="s">
        <v>68</v>
      </c>
      <c r="AB21" s="8">
        <v>580</v>
      </c>
      <c r="AC21" s="8">
        <v>700</v>
      </c>
      <c r="AD21" s="8"/>
      <c r="AE21" s="8" t="s">
        <v>98</v>
      </c>
      <c r="AF21" s="8">
        <v>265</v>
      </c>
      <c r="AG21" s="8">
        <v>320</v>
      </c>
      <c r="AH21" s="8"/>
      <c r="AI21" s="8">
        <v>350</v>
      </c>
      <c r="AJ21" s="8" t="s">
        <v>57</v>
      </c>
      <c r="AK21" s="8" t="s">
        <v>99</v>
      </c>
      <c r="AL21" s="8" t="s">
        <v>111</v>
      </c>
      <c r="AM21" s="6" t="s">
        <v>142</v>
      </c>
      <c r="AN21" s="6" t="s">
        <v>143</v>
      </c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14" t="s">
        <v>120</v>
      </c>
      <c r="CE21" s="14" t="s">
        <v>121</v>
      </c>
      <c r="CF21" s="14" t="s">
        <v>122</v>
      </c>
      <c r="CG21" s="7" t="s">
        <v>43</v>
      </c>
      <c r="CH21" s="14" t="s">
        <v>141</v>
      </c>
      <c r="CI21" s="10" t="s">
        <v>70</v>
      </c>
      <c r="CJ21" s="10" t="s">
        <v>71</v>
      </c>
      <c r="CK21" s="10" t="s">
        <v>72</v>
      </c>
      <c r="CL21" s="10" t="s">
        <v>43</v>
      </c>
    </row>
    <row r="22" spans="1:90" ht="15.5" x14ac:dyDescent="0.35">
      <c r="A22" s="6" t="s">
        <v>126</v>
      </c>
      <c r="B22" s="6" t="s">
        <v>144</v>
      </c>
      <c r="C22" s="6">
        <v>12</v>
      </c>
      <c r="D22" s="6"/>
      <c r="E22" s="6">
        <v>45</v>
      </c>
      <c r="F22" s="6" t="s">
        <v>140</v>
      </c>
      <c r="G22" s="6">
        <v>8</v>
      </c>
      <c r="H22" s="6"/>
      <c r="I22" s="6">
        <v>40</v>
      </c>
      <c r="J22" s="17">
        <f t="shared" si="3"/>
        <v>9.5000000000000001E-2</v>
      </c>
      <c r="K22" s="17">
        <f t="shared" si="4"/>
        <v>0.15</v>
      </c>
      <c r="L22" s="17"/>
      <c r="M22" s="17">
        <f t="shared" si="5"/>
        <v>1.1000000000000001</v>
      </c>
      <c r="N22" s="6">
        <v>45</v>
      </c>
      <c r="O22" s="6">
        <v>55</v>
      </c>
      <c r="P22" s="6"/>
      <c r="Q22" s="6">
        <v>400</v>
      </c>
      <c r="R22" s="6">
        <v>700</v>
      </c>
      <c r="S22" s="6">
        <v>900</v>
      </c>
      <c r="T22" s="6"/>
      <c r="U22" s="6" t="s">
        <v>119</v>
      </c>
      <c r="V22" s="6">
        <v>3</v>
      </c>
      <c r="W22" s="6" t="s">
        <v>94</v>
      </c>
      <c r="X22" s="8" t="s">
        <v>42</v>
      </c>
      <c r="Y22" s="8" t="s">
        <v>83</v>
      </c>
      <c r="Z22" s="8"/>
      <c r="AA22" s="8" t="s">
        <v>127</v>
      </c>
      <c r="AB22" s="8">
        <v>580</v>
      </c>
      <c r="AC22" s="8">
        <v>700</v>
      </c>
      <c r="AD22" s="8"/>
      <c r="AE22" s="8" t="s">
        <v>98</v>
      </c>
      <c r="AF22" s="8">
        <v>265</v>
      </c>
      <c r="AG22" s="8">
        <v>320</v>
      </c>
      <c r="AH22" s="8"/>
      <c r="AI22" s="8">
        <v>350</v>
      </c>
      <c r="AJ22" s="8" t="s">
        <v>96</v>
      </c>
      <c r="AK22" s="8" t="s">
        <v>99</v>
      </c>
      <c r="AL22" s="8" t="s">
        <v>111</v>
      </c>
      <c r="AM22" s="6" t="s">
        <v>142</v>
      </c>
      <c r="AN22" s="6" t="s">
        <v>143</v>
      </c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14" t="s">
        <v>120</v>
      </c>
      <c r="CE22" s="14" t="s">
        <v>121</v>
      </c>
      <c r="CF22" s="14" t="s">
        <v>122</v>
      </c>
      <c r="CG22" s="7" t="s">
        <v>43</v>
      </c>
      <c r="CH22" s="14" t="s">
        <v>145</v>
      </c>
      <c r="CI22" s="10" t="s">
        <v>70</v>
      </c>
      <c r="CJ22" s="10" t="s">
        <v>71</v>
      </c>
      <c r="CK22" s="10" t="s">
        <v>72</v>
      </c>
      <c r="CL22" s="10" t="s">
        <v>43</v>
      </c>
    </row>
    <row r="23" spans="1:90" ht="15.5" x14ac:dyDescent="0.35">
      <c r="A23" s="6" t="s">
        <v>129</v>
      </c>
      <c r="B23" s="6" t="s">
        <v>144</v>
      </c>
      <c r="C23" s="6">
        <v>12</v>
      </c>
      <c r="D23" s="6"/>
      <c r="E23" s="6">
        <v>45</v>
      </c>
      <c r="F23" s="6" t="s">
        <v>140</v>
      </c>
      <c r="G23" s="6">
        <v>8</v>
      </c>
      <c r="H23" s="6"/>
      <c r="I23" s="6">
        <v>40</v>
      </c>
      <c r="J23" s="17">
        <f t="shared" si="3"/>
        <v>9.5000000000000001E-2</v>
      </c>
      <c r="K23" s="17">
        <f t="shared" si="4"/>
        <v>0.15</v>
      </c>
      <c r="L23" s="17"/>
      <c r="M23" s="17">
        <f t="shared" si="5"/>
        <v>1.1000000000000001</v>
      </c>
      <c r="N23" s="6">
        <v>45</v>
      </c>
      <c r="O23" s="6">
        <v>55</v>
      </c>
      <c r="P23" s="6"/>
      <c r="Q23" s="6">
        <v>400</v>
      </c>
      <c r="R23" s="6">
        <v>700</v>
      </c>
      <c r="S23" s="6">
        <v>900</v>
      </c>
      <c r="T23" s="6"/>
      <c r="U23" s="6" t="s">
        <v>119</v>
      </c>
      <c r="V23" s="6">
        <v>3</v>
      </c>
      <c r="W23" s="6" t="s">
        <v>94</v>
      </c>
      <c r="X23" s="8" t="s">
        <v>42</v>
      </c>
      <c r="Y23" s="8" t="s">
        <v>83</v>
      </c>
      <c r="Z23" s="8"/>
      <c r="AA23" s="8" t="s">
        <v>127</v>
      </c>
      <c r="AB23" s="8">
        <v>580</v>
      </c>
      <c r="AC23" s="8">
        <v>700</v>
      </c>
      <c r="AD23" s="8"/>
      <c r="AE23" s="8" t="s">
        <v>69</v>
      </c>
      <c r="AF23" s="8">
        <v>265</v>
      </c>
      <c r="AG23" s="8">
        <v>320</v>
      </c>
      <c r="AH23" s="8"/>
      <c r="AI23" s="8">
        <v>350</v>
      </c>
      <c r="AJ23" s="8" t="s">
        <v>83</v>
      </c>
      <c r="AK23" s="8" t="s">
        <v>99</v>
      </c>
      <c r="AL23" s="8" t="s">
        <v>111</v>
      </c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14" t="s">
        <v>120</v>
      </c>
      <c r="CE23" s="14" t="s">
        <v>121</v>
      </c>
      <c r="CF23" s="14" t="s">
        <v>122</v>
      </c>
      <c r="CG23" s="7" t="s">
        <v>43</v>
      </c>
      <c r="CH23" s="14" t="s">
        <v>145</v>
      </c>
      <c r="CI23" s="10" t="s">
        <v>70</v>
      </c>
      <c r="CJ23" s="10" t="s">
        <v>71</v>
      </c>
      <c r="CK23" s="10" t="s">
        <v>72</v>
      </c>
      <c r="CL23" s="10" t="s">
        <v>43</v>
      </c>
    </row>
    <row r="24" spans="1:90" x14ac:dyDescent="0.35">
      <c r="A24" s="21" t="s">
        <v>146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</row>
    <row r="25" spans="1:90" ht="15.5" x14ac:dyDescent="0.35">
      <c r="A25" s="6" t="s">
        <v>147</v>
      </c>
      <c r="B25" s="6" t="s">
        <v>148</v>
      </c>
      <c r="C25" s="6">
        <v>40</v>
      </c>
      <c r="D25" s="6"/>
      <c r="E25" s="6">
        <v>45</v>
      </c>
      <c r="F25" s="6" t="s">
        <v>131</v>
      </c>
      <c r="G25" s="6">
        <v>10</v>
      </c>
      <c r="H25" s="6"/>
      <c r="I25" s="6">
        <v>35</v>
      </c>
      <c r="J25" s="17">
        <f>160*0.001</f>
        <v>0.16</v>
      </c>
      <c r="K25" s="17">
        <f>220*0.001</f>
        <v>0.22</v>
      </c>
      <c r="L25" s="17"/>
      <c r="M25" s="17">
        <f>900*0.001</f>
        <v>0.9</v>
      </c>
      <c r="N25" s="6">
        <v>49</v>
      </c>
      <c r="O25" s="6">
        <v>60</v>
      </c>
      <c r="P25" s="6"/>
      <c r="Q25" s="6">
        <v>400</v>
      </c>
      <c r="R25" s="6">
        <v>785</v>
      </c>
      <c r="S25" s="6" t="s">
        <v>42</v>
      </c>
      <c r="T25" s="6"/>
      <c r="U25" s="6" t="s">
        <v>108</v>
      </c>
      <c r="V25" s="6">
        <v>3</v>
      </c>
      <c r="W25" s="6" t="s">
        <v>94</v>
      </c>
      <c r="X25" s="8" t="s">
        <v>95</v>
      </c>
      <c r="Y25" s="8" t="s">
        <v>96</v>
      </c>
      <c r="Z25" s="8"/>
      <c r="AA25" s="8" t="s">
        <v>69</v>
      </c>
      <c r="AB25" s="8">
        <v>1.0549999999999999</v>
      </c>
      <c r="AC25" s="8" t="s">
        <v>97</v>
      </c>
      <c r="AD25" s="8"/>
      <c r="AE25" s="8" t="s">
        <v>151</v>
      </c>
      <c r="AF25" s="8">
        <v>335</v>
      </c>
      <c r="AG25" s="8">
        <v>400</v>
      </c>
      <c r="AH25" s="8"/>
      <c r="AI25" s="8">
        <v>350</v>
      </c>
      <c r="AJ25" s="8" t="s">
        <v>57</v>
      </c>
      <c r="AK25" s="8" t="s">
        <v>99</v>
      </c>
      <c r="AL25" s="8" t="s">
        <v>111</v>
      </c>
      <c r="AM25" s="6" t="s">
        <v>79</v>
      </c>
      <c r="AN25" s="6" t="s">
        <v>154</v>
      </c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10" t="s">
        <v>149</v>
      </c>
      <c r="CE25" s="10" t="s">
        <v>150</v>
      </c>
      <c r="CF25" s="10" t="s">
        <v>122</v>
      </c>
      <c r="CG25" s="7" t="s">
        <v>43</v>
      </c>
      <c r="CH25" s="9"/>
      <c r="CI25" s="10" t="s">
        <v>152</v>
      </c>
      <c r="CJ25" s="10" t="s">
        <v>153</v>
      </c>
      <c r="CK25" s="10" t="s">
        <v>72</v>
      </c>
      <c r="CL25" s="10" t="s">
        <v>43</v>
      </c>
    </row>
    <row r="26" spans="1:90" x14ac:dyDescent="0.35">
      <c r="A26" s="6" t="s">
        <v>116</v>
      </c>
      <c r="B26" s="6" t="s">
        <v>155</v>
      </c>
      <c r="C26" s="6">
        <v>40</v>
      </c>
      <c r="D26" s="6"/>
      <c r="E26" s="6">
        <v>45</v>
      </c>
      <c r="F26" s="6" t="s">
        <v>117</v>
      </c>
      <c r="G26" s="6">
        <v>11</v>
      </c>
      <c r="H26" s="6"/>
      <c r="I26" s="6">
        <v>40</v>
      </c>
      <c r="J26" s="17">
        <f t="shared" ref="J26:J27" si="6">160*0.001</f>
        <v>0.16</v>
      </c>
      <c r="K26" s="17">
        <f t="shared" ref="K26:K27" si="7">220*0.001</f>
        <v>0.22</v>
      </c>
      <c r="L26" s="17"/>
      <c r="M26" s="17">
        <f>1100*0.001</f>
        <v>1.1000000000000001</v>
      </c>
      <c r="N26" s="6">
        <v>49</v>
      </c>
      <c r="O26" s="6">
        <v>60</v>
      </c>
      <c r="P26" s="6"/>
      <c r="Q26" s="6">
        <v>400</v>
      </c>
      <c r="R26" s="6">
        <v>800</v>
      </c>
      <c r="S26" s="6" t="s">
        <v>42</v>
      </c>
      <c r="T26" s="6"/>
      <c r="U26" s="6" t="s">
        <v>119</v>
      </c>
      <c r="V26" s="6">
        <v>3</v>
      </c>
      <c r="W26" s="6" t="s">
        <v>94</v>
      </c>
      <c r="X26" s="8">
        <v>800</v>
      </c>
      <c r="Y26" s="8" t="s">
        <v>42</v>
      </c>
      <c r="Z26" s="8"/>
      <c r="AA26" s="8" t="s">
        <v>68</v>
      </c>
      <c r="AB26" s="8">
        <v>580</v>
      </c>
      <c r="AC26" s="8">
        <v>700</v>
      </c>
      <c r="AD26" s="8"/>
      <c r="AE26" s="8" t="s">
        <v>151</v>
      </c>
      <c r="AF26" s="8">
        <v>290</v>
      </c>
      <c r="AG26" s="8">
        <v>350</v>
      </c>
      <c r="AH26" s="8"/>
      <c r="AI26" s="8">
        <v>350</v>
      </c>
      <c r="AJ26" s="8" t="s">
        <v>57</v>
      </c>
      <c r="AK26" s="8" t="s">
        <v>99</v>
      </c>
      <c r="AL26" s="8" t="s">
        <v>111</v>
      </c>
      <c r="AM26" s="6" t="s">
        <v>79</v>
      </c>
      <c r="AN26" s="6" t="s">
        <v>154</v>
      </c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10" t="s">
        <v>149</v>
      </c>
      <c r="CE26" s="10" t="s">
        <v>150</v>
      </c>
      <c r="CF26" s="10" t="s">
        <v>122</v>
      </c>
      <c r="CG26" s="9"/>
      <c r="CH26" s="9"/>
      <c r="CI26" s="10" t="s">
        <v>152</v>
      </c>
      <c r="CJ26" s="10" t="s">
        <v>153</v>
      </c>
      <c r="CK26" s="10" t="s">
        <v>72</v>
      </c>
      <c r="CL26" s="10" t="s">
        <v>43</v>
      </c>
    </row>
    <row r="27" spans="1:90" x14ac:dyDescent="0.35">
      <c r="A27" s="6" t="s">
        <v>125</v>
      </c>
      <c r="B27" s="6" t="s">
        <v>155</v>
      </c>
      <c r="C27" s="6">
        <v>40</v>
      </c>
      <c r="D27" s="6"/>
      <c r="E27" s="6">
        <v>45</v>
      </c>
      <c r="F27" s="6" t="s">
        <v>117</v>
      </c>
      <c r="G27" s="6">
        <v>11</v>
      </c>
      <c r="H27" s="6"/>
      <c r="I27" s="6">
        <v>40</v>
      </c>
      <c r="J27" s="17">
        <f t="shared" si="6"/>
        <v>0.16</v>
      </c>
      <c r="K27" s="17">
        <f t="shared" si="7"/>
        <v>0.22</v>
      </c>
      <c r="L27" s="17"/>
      <c r="M27" s="17">
        <f>1100*0.001</f>
        <v>1.1000000000000001</v>
      </c>
      <c r="N27" s="6">
        <v>49</v>
      </c>
      <c r="O27" s="6">
        <v>60</v>
      </c>
      <c r="P27" s="6"/>
      <c r="Q27" s="6">
        <v>400</v>
      </c>
      <c r="R27" s="6">
        <v>800</v>
      </c>
      <c r="S27" s="6" t="s">
        <v>42</v>
      </c>
      <c r="T27" s="6"/>
      <c r="U27" s="6" t="s">
        <v>119</v>
      </c>
      <c r="V27" s="6">
        <v>3</v>
      </c>
      <c r="W27" s="6" t="s">
        <v>94</v>
      </c>
      <c r="X27" s="8">
        <v>800</v>
      </c>
      <c r="Y27" s="8" t="s">
        <v>42</v>
      </c>
      <c r="Z27" s="8"/>
      <c r="AA27" s="8" t="s">
        <v>68</v>
      </c>
      <c r="AB27" s="8">
        <v>580</v>
      </c>
      <c r="AC27" s="8">
        <v>700</v>
      </c>
      <c r="AD27" s="8"/>
      <c r="AE27" s="8" t="s">
        <v>151</v>
      </c>
      <c r="AF27" s="8">
        <v>300</v>
      </c>
      <c r="AG27" s="8">
        <v>360</v>
      </c>
      <c r="AH27" s="8"/>
      <c r="AI27" s="8">
        <v>350</v>
      </c>
      <c r="AJ27" s="8" t="s">
        <v>57</v>
      </c>
      <c r="AK27" s="8" t="s">
        <v>99</v>
      </c>
      <c r="AL27" s="8" t="s">
        <v>111</v>
      </c>
      <c r="AM27" s="6" t="s">
        <v>79</v>
      </c>
      <c r="AN27" s="6" t="s">
        <v>154</v>
      </c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10" t="s">
        <v>149</v>
      </c>
      <c r="CE27" s="10" t="s">
        <v>150</v>
      </c>
      <c r="CF27" s="10" t="s">
        <v>122</v>
      </c>
      <c r="CG27" s="9"/>
      <c r="CH27" s="9"/>
      <c r="CI27" s="10" t="s">
        <v>152</v>
      </c>
      <c r="CJ27" s="10" t="s">
        <v>153</v>
      </c>
      <c r="CK27" s="10" t="s">
        <v>72</v>
      </c>
      <c r="CL27" s="10" t="s">
        <v>43</v>
      </c>
    </row>
    <row r="28" spans="1:90" x14ac:dyDescent="0.35">
      <c r="A28" s="21" t="s">
        <v>156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</row>
    <row r="29" spans="1:90" ht="15.5" x14ac:dyDescent="0.35">
      <c r="A29" s="6" t="s">
        <v>147</v>
      </c>
      <c r="B29" s="6" t="s">
        <v>157</v>
      </c>
      <c r="C29" s="6">
        <v>15</v>
      </c>
      <c r="D29" s="6"/>
      <c r="E29" s="6">
        <v>45</v>
      </c>
      <c r="F29" s="6" t="s">
        <v>117</v>
      </c>
      <c r="G29" s="6">
        <v>11</v>
      </c>
      <c r="H29" s="6"/>
      <c r="I29" s="6">
        <v>35</v>
      </c>
      <c r="J29" s="17">
        <f>209*0.001</f>
        <v>0.20899999999999999</v>
      </c>
      <c r="K29" s="17">
        <f>290*0.001</f>
        <v>0.28999999999999998</v>
      </c>
      <c r="L29" s="17"/>
      <c r="M29" s="17">
        <f>900*0.001</f>
        <v>0.9</v>
      </c>
      <c r="N29" s="6">
        <v>59</v>
      </c>
      <c r="O29" s="6">
        <v>70</v>
      </c>
      <c r="P29" s="6"/>
      <c r="Q29" s="6">
        <v>400</v>
      </c>
      <c r="R29" s="6">
        <v>985</v>
      </c>
      <c r="S29" s="6" t="s">
        <v>96</v>
      </c>
      <c r="T29" s="6"/>
      <c r="U29" s="6" t="s">
        <v>108</v>
      </c>
      <c r="V29" s="6">
        <v>3</v>
      </c>
      <c r="W29" s="6" t="s">
        <v>94</v>
      </c>
      <c r="X29" s="8" t="s">
        <v>95</v>
      </c>
      <c r="Y29" s="8" t="s">
        <v>96</v>
      </c>
      <c r="Z29" s="8"/>
      <c r="AA29" s="8" t="s">
        <v>69</v>
      </c>
      <c r="AB29" s="8">
        <v>1.0549999999999999</v>
      </c>
      <c r="AC29" s="8" t="s">
        <v>97</v>
      </c>
      <c r="AD29" s="8"/>
      <c r="AE29" s="8" t="s">
        <v>98</v>
      </c>
      <c r="AF29" s="8">
        <v>300</v>
      </c>
      <c r="AG29" s="8">
        <v>360</v>
      </c>
      <c r="AH29" s="8"/>
      <c r="AI29" s="8">
        <v>350</v>
      </c>
      <c r="AJ29" s="8" t="s">
        <v>57</v>
      </c>
      <c r="AK29" s="8" t="s">
        <v>99</v>
      </c>
      <c r="AL29" s="8" t="s">
        <v>160</v>
      </c>
      <c r="AM29" s="6" t="s">
        <v>164</v>
      </c>
      <c r="AN29" s="6" t="s">
        <v>165</v>
      </c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10" t="s">
        <v>158</v>
      </c>
      <c r="CE29" s="10" t="s">
        <v>159</v>
      </c>
      <c r="CF29" s="10" t="s">
        <v>122</v>
      </c>
      <c r="CG29" s="7" t="s">
        <v>43</v>
      </c>
      <c r="CH29" s="14" t="s">
        <v>161</v>
      </c>
      <c r="CI29" s="10" t="s">
        <v>162</v>
      </c>
      <c r="CJ29" s="10" t="s">
        <v>163</v>
      </c>
      <c r="CK29" s="10" t="s">
        <v>72</v>
      </c>
      <c r="CL29" s="10" t="s">
        <v>43</v>
      </c>
    </row>
    <row r="30" spans="1:90" x14ac:dyDescent="0.35">
      <c r="A30" s="6" t="s">
        <v>116</v>
      </c>
      <c r="B30" s="6" t="s">
        <v>166</v>
      </c>
      <c r="C30" s="6">
        <v>14</v>
      </c>
      <c r="D30" s="6"/>
      <c r="E30" s="6">
        <v>45</v>
      </c>
      <c r="F30" s="6" t="s">
        <v>94</v>
      </c>
      <c r="G30" s="6">
        <v>12</v>
      </c>
      <c r="H30" s="6"/>
      <c r="I30" s="6">
        <v>40</v>
      </c>
      <c r="J30" s="17">
        <f t="shared" ref="J30:J31" si="8">209*0.001</f>
        <v>0.20899999999999999</v>
      </c>
      <c r="K30" s="17">
        <f t="shared" ref="K30:K31" si="9">290*0.001</f>
        <v>0.28999999999999998</v>
      </c>
      <c r="L30" s="17"/>
      <c r="M30" s="17">
        <f>1100*0.001</f>
        <v>1.1000000000000001</v>
      </c>
      <c r="N30" s="6">
        <v>59</v>
      </c>
      <c r="O30" s="6">
        <v>70</v>
      </c>
      <c r="P30" s="6"/>
      <c r="Q30" s="6">
        <v>400</v>
      </c>
      <c r="R30" s="6" t="s">
        <v>42</v>
      </c>
      <c r="S30" s="6" t="s">
        <v>96</v>
      </c>
      <c r="T30" s="6"/>
      <c r="U30" s="6" t="s">
        <v>119</v>
      </c>
      <c r="V30" s="6">
        <v>3</v>
      </c>
      <c r="W30" s="6" t="s">
        <v>94</v>
      </c>
      <c r="X30" s="8">
        <v>800</v>
      </c>
      <c r="Y30" s="8" t="s">
        <v>42</v>
      </c>
      <c r="Z30" s="8"/>
      <c r="AA30" s="8" t="s">
        <v>68</v>
      </c>
      <c r="AB30" s="8">
        <v>580</v>
      </c>
      <c r="AC30" s="8">
        <v>700</v>
      </c>
      <c r="AD30" s="8"/>
      <c r="AE30" s="8" t="s">
        <v>98</v>
      </c>
      <c r="AF30" s="8">
        <v>255</v>
      </c>
      <c r="AG30" s="8">
        <v>310</v>
      </c>
      <c r="AH30" s="8"/>
      <c r="AI30" s="8">
        <v>350</v>
      </c>
      <c r="AJ30" s="8" t="s">
        <v>57</v>
      </c>
      <c r="AK30" s="8" t="s">
        <v>99</v>
      </c>
      <c r="AL30" s="8" t="s">
        <v>160</v>
      </c>
      <c r="AM30" s="6" t="s">
        <v>164</v>
      </c>
      <c r="AN30" s="6" t="s">
        <v>165</v>
      </c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10" t="s">
        <v>158</v>
      </c>
      <c r="CE30" s="10" t="s">
        <v>159</v>
      </c>
      <c r="CF30" s="10" t="s">
        <v>167</v>
      </c>
      <c r="CG30" s="9"/>
      <c r="CH30" s="14" t="s">
        <v>161</v>
      </c>
      <c r="CI30" s="10" t="s">
        <v>162</v>
      </c>
      <c r="CJ30" s="10" t="s">
        <v>163</v>
      </c>
      <c r="CK30" s="10" t="s">
        <v>72</v>
      </c>
      <c r="CL30" s="10" t="s">
        <v>43</v>
      </c>
    </row>
    <row r="31" spans="1:90" x14ac:dyDescent="0.35">
      <c r="A31" s="6" t="s">
        <v>125</v>
      </c>
      <c r="B31" s="6" t="s">
        <v>166</v>
      </c>
      <c r="C31" s="6">
        <v>14</v>
      </c>
      <c r="D31" s="6"/>
      <c r="E31" s="6">
        <v>45</v>
      </c>
      <c r="F31" s="6" t="s">
        <v>94</v>
      </c>
      <c r="G31" s="6">
        <v>12</v>
      </c>
      <c r="H31" s="6"/>
      <c r="I31" s="6">
        <v>40</v>
      </c>
      <c r="J31" s="17">
        <f t="shared" si="8"/>
        <v>0.20899999999999999</v>
      </c>
      <c r="K31" s="17">
        <f t="shared" si="9"/>
        <v>0.28999999999999998</v>
      </c>
      <c r="L31" s="17"/>
      <c r="M31" s="17">
        <f>1100*0.001</f>
        <v>1.1000000000000001</v>
      </c>
      <c r="N31" s="6">
        <v>59</v>
      </c>
      <c r="O31" s="6">
        <v>70</v>
      </c>
      <c r="P31" s="6"/>
      <c r="Q31" s="6">
        <v>400</v>
      </c>
      <c r="R31" s="6" t="s">
        <v>42</v>
      </c>
      <c r="S31" s="6" t="s">
        <v>96</v>
      </c>
      <c r="T31" s="6"/>
      <c r="U31" s="6" t="s">
        <v>119</v>
      </c>
      <c r="V31" s="6">
        <v>3</v>
      </c>
      <c r="W31" s="6" t="s">
        <v>94</v>
      </c>
      <c r="X31" s="8">
        <v>800</v>
      </c>
      <c r="Y31" s="8" t="s">
        <v>42</v>
      </c>
      <c r="Z31" s="8"/>
      <c r="AA31" s="8" t="s">
        <v>68</v>
      </c>
      <c r="AB31" s="8">
        <v>580</v>
      </c>
      <c r="AC31" s="8">
        <v>700</v>
      </c>
      <c r="AD31" s="8"/>
      <c r="AE31" s="8" t="s">
        <v>98</v>
      </c>
      <c r="AF31" s="8">
        <v>255</v>
      </c>
      <c r="AG31" s="8">
        <v>320</v>
      </c>
      <c r="AH31" s="8"/>
      <c r="AI31" s="8">
        <v>350</v>
      </c>
      <c r="AJ31" s="8" t="s">
        <v>57</v>
      </c>
      <c r="AK31" s="8" t="s">
        <v>99</v>
      </c>
      <c r="AL31" s="8" t="s">
        <v>160</v>
      </c>
      <c r="AM31" s="6" t="s">
        <v>164</v>
      </c>
      <c r="AN31" s="6" t="s">
        <v>165</v>
      </c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10" t="s">
        <v>158</v>
      </c>
      <c r="CE31" s="10" t="s">
        <v>159</v>
      </c>
      <c r="CF31" s="10" t="s">
        <v>168</v>
      </c>
      <c r="CG31" s="9"/>
      <c r="CH31" s="14" t="s">
        <v>161</v>
      </c>
      <c r="CI31" s="10" t="s">
        <v>162</v>
      </c>
      <c r="CJ31" s="10" t="s">
        <v>163</v>
      </c>
      <c r="CK31" s="10" t="s">
        <v>72</v>
      </c>
      <c r="CL31" s="10" t="s">
        <v>43</v>
      </c>
    </row>
    <row r="40" spans="59:59" x14ac:dyDescent="0.35">
      <c r="BG40" s="15"/>
    </row>
  </sheetData>
  <mergeCells count="41">
    <mergeCell ref="AO1:BB1"/>
    <mergeCell ref="BC1:CC1"/>
    <mergeCell ref="CD1:CL1"/>
    <mergeCell ref="B2:E2"/>
    <mergeCell ref="F2:I2"/>
    <mergeCell ref="J2:M2"/>
    <mergeCell ref="AF2:AI2"/>
    <mergeCell ref="BF2:BH2"/>
    <mergeCell ref="BI2:BK2"/>
    <mergeCell ref="BL2:BN2"/>
    <mergeCell ref="AO2:AP2"/>
    <mergeCell ref="AQ2:AR2"/>
    <mergeCell ref="AS2:AT2"/>
    <mergeCell ref="AU2:AV2"/>
    <mergeCell ref="AW2:AX2"/>
    <mergeCell ref="A1:A3"/>
    <mergeCell ref="B1:W1"/>
    <mergeCell ref="X1:AL1"/>
    <mergeCell ref="AM1:AN1"/>
    <mergeCell ref="N2:Q2"/>
    <mergeCell ref="R2:U2"/>
    <mergeCell ref="V2:W2"/>
    <mergeCell ref="X2:AA2"/>
    <mergeCell ref="AB2:AE2"/>
    <mergeCell ref="AJ2:AK2"/>
    <mergeCell ref="A28:CL28"/>
    <mergeCell ref="CI2:CL2"/>
    <mergeCell ref="A4:CL4"/>
    <mergeCell ref="A7:CL7"/>
    <mergeCell ref="A10:CL10"/>
    <mergeCell ref="A17:CL17"/>
    <mergeCell ref="A24:CL24"/>
    <mergeCell ref="BO2:BQ2"/>
    <mergeCell ref="BR2:BT2"/>
    <mergeCell ref="BU2:BW2"/>
    <mergeCell ref="BX2:BZ2"/>
    <mergeCell ref="CA2:CC2"/>
    <mergeCell ref="CD2:CG2"/>
    <mergeCell ref="AY2:AZ2"/>
    <mergeCell ref="BA2:BB2"/>
    <mergeCell ref="BC2:BE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Saray Paola Berrio Beltran</dc:creator>
  <cp:lastModifiedBy>Saray Berrio</cp:lastModifiedBy>
  <dcterms:created xsi:type="dcterms:W3CDTF">2025-10-08T20:22:44Z</dcterms:created>
  <dcterms:modified xsi:type="dcterms:W3CDTF">2025-11-06T03:53:52Z</dcterms:modified>
</cp:coreProperties>
</file>